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taking1.sharepoint.com/sites/navegantes/Documentos Compartilhados/Controle de Profissionais/"/>
    </mc:Choice>
  </mc:AlternateContent>
  <xr:revisionPtr revIDLastSave="1592" documentId="13_ncr:1_{859A3832-0D06-4A80-BC10-D6675E4777A6}" xr6:coauthVersionLast="47" xr6:coauthVersionMax="47" xr10:uidLastSave="{6C576087-76A2-4AC4-B93C-7000A0E0C989}"/>
  <bookViews>
    <workbookView xWindow="-120" yWindow="-120" windowWidth="20730" windowHeight="11040" tabRatio="855" firstSheet="1" activeTab="2" xr2:uid="{BCB1B63A-E5A2-4A06-9F4D-23FCEAA56E8F}"/>
  </bookViews>
  <sheets>
    <sheet name="Alelo" sheetId="5" r:id="rId1"/>
    <sheet name="Livelo" sheetId="1" r:id="rId2"/>
    <sheet name="Veloe" sheetId="3" r:id="rId3"/>
    <sheet name="Pede Pronto" sheetId="6" r:id="rId4"/>
    <sheet name="Idea Maker" sheetId="17" r:id="rId5"/>
    <sheet name="Zamp" sheetId="18" r:id="rId6"/>
    <sheet name="Desligados" sheetId="13" r:id="rId7"/>
    <sheet name="Equipamento" sheetId="15" r:id="rId8"/>
    <sheet name="Férias" sheetId="16" r:id="rId9"/>
    <sheet name="Alocados 95_Elopar | 3_Idea " sheetId="14" r:id="rId10"/>
  </sheets>
  <externalReferences>
    <externalReference r:id="rId11"/>
  </externalReferences>
  <definedNames>
    <definedName name="_xlnm._FilterDatabase" localSheetId="0" hidden="1">Alelo!$L$20:$R$20</definedName>
    <definedName name="_xlnm._FilterDatabase" localSheetId="6" hidden="1">Desligados!$A$4:$W$67</definedName>
    <definedName name="_xlnm._FilterDatabase" localSheetId="7" hidden="1">Equipamento!$A$1:$F$102</definedName>
    <definedName name="_xlnm._FilterDatabase" localSheetId="8" hidden="1">Férias!$A$1:$O$13</definedName>
    <definedName name="_xlnm._FilterDatabase" localSheetId="1" hidden="1">Livelo!$A$4:$A$32</definedName>
    <definedName name="_xlnm._FilterDatabase" localSheetId="3" hidden="1">'Pede Pronto'!$A$4:$W$12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9" i="13" l="1"/>
  <c r="P139" i="13"/>
  <c r="K139" i="13"/>
  <c r="U138" i="13"/>
  <c r="P138" i="13"/>
  <c r="K138" i="13"/>
  <c r="T80" i="13"/>
  <c r="O80" i="13"/>
  <c r="K80" i="13"/>
  <c r="T79" i="13"/>
  <c r="O79" i="13"/>
  <c r="K79" i="13"/>
  <c r="O78" i="13"/>
  <c r="K78" i="13"/>
  <c r="T107" i="13" l="1"/>
  <c r="P107" i="13"/>
  <c r="K107" i="13"/>
  <c r="T77" i="13"/>
  <c r="O77" i="13"/>
  <c r="K77" i="13"/>
  <c r="T76" i="13"/>
  <c r="K76" i="13"/>
  <c r="O76" i="13"/>
  <c r="X12" i="1"/>
  <c r="X30" i="1"/>
  <c r="S6" i="1"/>
  <c r="S8" i="1"/>
  <c r="S9" i="1"/>
  <c r="S10" i="1"/>
  <c r="S11" i="1"/>
  <c r="S12" i="1"/>
  <c r="S13" i="1"/>
  <c r="S14" i="1"/>
  <c r="S15" i="1"/>
  <c r="S16" i="1"/>
  <c r="S17" i="1"/>
  <c r="S18" i="1"/>
  <c r="S19" i="1"/>
  <c r="S20" i="1"/>
  <c r="S21" i="1"/>
  <c r="S22" i="1"/>
  <c r="S23" i="1"/>
  <c r="S24" i="1"/>
  <c r="S25" i="1"/>
  <c r="S26" i="1"/>
  <c r="S27" i="1"/>
  <c r="S28" i="1"/>
  <c r="S29" i="1"/>
  <c r="S30" i="1"/>
  <c r="S31" i="1"/>
  <c r="S32" i="1"/>
  <c r="S34" i="1"/>
  <c r="S35" i="1"/>
  <c r="S36" i="1"/>
  <c r="S37" i="1"/>
  <c r="S38" i="1"/>
  <c r="S39" i="1"/>
  <c r="S40" i="1"/>
  <c r="S41" i="1"/>
  <c r="S42" i="1"/>
  <c r="S5" i="1"/>
  <c r="S24" i="3"/>
  <c r="S18" i="3"/>
  <c r="S14" i="3"/>
  <c r="S9" i="3"/>
  <c r="S6" i="3"/>
  <c r="R10" i="6"/>
  <c r="R21" i="5"/>
  <c r="R20" i="5"/>
  <c r="R19" i="5"/>
  <c r="R18" i="5"/>
  <c r="R17" i="5"/>
  <c r="R16" i="5"/>
  <c r="R15" i="5"/>
  <c r="R14" i="5"/>
  <c r="R13" i="5"/>
  <c r="R12" i="5"/>
  <c r="R11" i="5"/>
  <c r="R10" i="5"/>
  <c r="R9" i="5"/>
  <c r="R8" i="5"/>
  <c r="R7" i="5"/>
  <c r="R6" i="5"/>
  <c r="R5" i="5"/>
  <c r="X6" i="3"/>
  <c r="O33" i="1"/>
  <c r="R33" i="1"/>
  <c r="X33" i="1"/>
  <c r="T75" i="13"/>
  <c r="K75" i="13"/>
  <c r="T74" i="13"/>
  <c r="K74" i="13"/>
  <c r="W8" i="6"/>
  <c r="W9" i="6"/>
  <c r="W5" i="6"/>
  <c r="N21" i="5"/>
  <c r="T73" i="13"/>
  <c r="K73" i="13"/>
  <c r="T72" i="13"/>
  <c r="K72" i="13"/>
  <c r="W16" i="5" l="1"/>
  <c r="W12" i="5"/>
  <c r="W19" i="5"/>
  <c r="W7" i="5"/>
  <c r="W6" i="5"/>
  <c r="W15" i="5"/>
  <c r="W5" i="5"/>
  <c r="O7" i="1"/>
  <c r="R7" i="1"/>
  <c r="X7" i="1"/>
  <c r="X10" i="1"/>
  <c r="O10" i="1"/>
  <c r="X36" i="1" l="1"/>
  <c r="O20" i="1"/>
  <c r="X20" i="1"/>
  <c r="T71" i="13"/>
  <c r="K71" i="13"/>
  <c r="O36" i="1"/>
  <c r="O39" i="1"/>
  <c r="X39" i="1"/>
  <c r="T70" i="13"/>
  <c r="K70" i="13"/>
  <c r="W12" i="6"/>
  <c r="R12" i="6"/>
  <c r="M12" i="6"/>
  <c r="X43" i="1"/>
  <c r="R43" i="1"/>
  <c r="O43" i="1"/>
  <c r="X41" i="1" l="1"/>
  <c r="T69" i="13"/>
  <c r="K69" i="13"/>
  <c r="W7" i="6"/>
  <c r="W10" i="6"/>
  <c r="W8" i="5"/>
  <c r="W9" i="5"/>
  <c r="W10" i="5"/>
  <c r="W11" i="5"/>
  <c r="W13" i="5"/>
  <c r="W14" i="5"/>
  <c r="W17" i="5"/>
  <c r="W18" i="5"/>
  <c r="AA16" i="3"/>
  <c r="AB16" i="3" s="1"/>
  <c r="X5" i="3"/>
  <c r="X7" i="3"/>
  <c r="X11" i="3"/>
  <c r="X17" i="3"/>
  <c r="X19" i="3"/>
  <c r="X20" i="3"/>
  <c r="X21" i="3"/>
  <c r="X9" i="3"/>
  <c r="X10" i="3"/>
  <c r="X18" i="3"/>
  <c r="X23" i="3"/>
  <c r="X24" i="3"/>
  <c r="X8" i="3"/>
  <c r="X15" i="3"/>
  <c r="X16" i="3"/>
  <c r="X13" i="3"/>
  <c r="X14" i="3"/>
  <c r="X12" i="3"/>
  <c r="X22" i="3"/>
  <c r="X24" i="1"/>
  <c r="X16" i="1"/>
  <c r="O41" i="1"/>
  <c r="P176" i="13"/>
  <c r="Q176" i="13" s="1"/>
  <c r="T176" i="13"/>
  <c r="T68" i="13"/>
  <c r="O68" i="13"/>
  <c r="K68" i="13"/>
  <c r="T67" i="13"/>
  <c r="K67" i="13"/>
  <c r="O5" i="1"/>
  <c r="X5" i="1"/>
  <c r="O6" i="1"/>
  <c r="X6" i="1"/>
  <c r="O8" i="1"/>
  <c r="X8" i="1"/>
  <c r="O9" i="1"/>
  <c r="X9" i="1"/>
  <c r="O11" i="1"/>
  <c r="X11" i="1"/>
  <c r="O12" i="1"/>
  <c r="O13" i="1"/>
  <c r="X13" i="1"/>
  <c r="O14" i="1"/>
  <c r="X14" i="1"/>
  <c r="O15" i="1"/>
  <c r="X15" i="1"/>
  <c r="O17" i="1"/>
  <c r="X17" i="1"/>
  <c r="O18" i="1"/>
  <c r="X18" i="1"/>
  <c r="O19" i="1"/>
  <c r="X19" i="1"/>
  <c r="O21" i="1"/>
  <c r="X21" i="1"/>
  <c r="O22" i="1"/>
  <c r="X22" i="1"/>
  <c r="O23" i="1"/>
  <c r="X23" i="1"/>
  <c r="O25" i="1"/>
  <c r="X25" i="1"/>
  <c r="O26" i="1"/>
  <c r="X26" i="1"/>
  <c r="O27" i="1"/>
  <c r="X27" i="1"/>
  <c r="O28" i="1"/>
  <c r="X28" i="1"/>
  <c r="O29" i="1"/>
  <c r="X29" i="1"/>
  <c r="O30" i="1"/>
  <c r="O31" i="1"/>
  <c r="X31" i="1"/>
  <c r="O32" i="1"/>
  <c r="X32" i="1"/>
  <c r="O34" i="1"/>
  <c r="X34" i="1"/>
  <c r="O35" i="1"/>
  <c r="X35" i="1"/>
  <c r="O37" i="1"/>
  <c r="X37" i="1"/>
  <c r="O38" i="1"/>
  <c r="X38" i="1"/>
  <c r="O40" i="1"/>
  <c r="X40" i="1"/>
  <c r="O42" i="1"/>
  <c r="X42" i="1"/>
  <c r="O24" i="1"/>
  <c r="U132" i="13"/>
  <c r="P132" i="13"/>
  <c r="K132" i="13"/>
  <c r="N22" i="3"/>
  <c r="P131" i="13"/>
  <c r="K131" i="13"/>
  <c r="T172" i="13"/>
  <c r="Q172" i="13"/>
  <c r="K172" i="13"/>
  <c r="V6" i="17"/>
  <c r="V5" i="17"/>
  <c r="R6" i="17"/>
  <c r="R5" i="17"/>
  <c r="K64" i="13"/>
  <c r="T63" i="13"/>
  <c r="K63" i="13"/>
  <c r="P130" i="13" l="1"/>
  <c r="K130" i="13"/>
  <c r="U128" i="13"/>
  <c r="W20" i="5" l="1"/>
  <c r="N20" i="5"/>
  <c r="N24" i="3" l="1"/>
  <c r="S15" i="3"/>
  <c r="N18" i="3"/>
  <c r="N14" i="5"/>
  <c r="N9" i="3"/>
  <c r="N9" i="5"/>
  <c r="N16" i="5"/>
  <c r="N13" i="5"/>
  <c r="R6" i="6"/>
  <c r="R7" i="6"/>
  <c r="R8" i="6"/>
  <c r="R9" i="6"/>
  <c r="R5" i="6"/>
  <c r="N6" i="3"/>
  <c r="N5" i="5"/>
  <c r="N14" i="3"/>
  <c r="M5" i="6"/>
  <c r="M6" i="6"/>
  <c r="M7" i="6"/>
  <c r="M8" i="6"/>
  <c r="M9" i="6"/>
  <c r="M10" i="6"/>
  <c r="W3" i="5" l="1"/>
  <c r="N7" i="3" l="1"/>
  <c r="N8" i="3"/>
  <c r="N10" i="3"/>
  <c r="N11" i="3"/>
  <c r="N12" i="3"/>
  <c r="N13" i="3"/>
  <c r="N15" i="3"/>
  <c r="N16" i="3"/>
  <c r="N17" i="3"/>
  <c r="N19" i="3"/>
  <c r="N20" i="3"/>
  <c r="N21" i="3"/>
  <c r="N23" i="3"/>
  <c r="N5" i="3"/>
  <c r="N6" i="5"/>
  <c r="N7" i="5"/>
  <c r="N8" i="5"/>
  <c r="N11" i="5"/>
  <c r="N12" i="5"/>
  <c r="N15" i="5"/>
  <c r="N17" i="5"/>
  <c r="N18" i="5"/>
  <c r="N19" i="5"/>
  <c r="S16" i="3"/>
  <c r="S17" i="3"/>
  <c r="S19" i="3"/>
  <c r="S20" i="3"/>
  <c r="S21" i="3"/>
  <c r="S23" i="3"/>
  <c r="S7" i="3"/>
  <c r="S8" i="3"/>
  <c r="S10" i="3"/>
  <c r="S11" i="3"/>
  <c r="S12" i="3"/>
  <c r="S5" i="3"/>
  <c r="X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Jessica Lima Mendes</author>
  </authors>
  <commentList>
    <comment ref="U10" authorId="0" shapeId="0" xr:uid="{06BD4124-74E7-45F7-B1BE-9425A027ABD8}">
      <text>
        <r>
          <rPr>
            <sz val="11"/>
            <color theme="1"/>
            <rFont val="Aptos Narrow"/>
            <family val="2"/>
            <scheme val="minor"/>
          </rPr>
          <t xml:space="preserve">Jessica Lima Mendes:
Alinhado com Domi em 17/12 que manteremos ele na taxa de senior por falta de orçamento do cliente.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tc={CA577249-06E9-4C34-9692-20F37DCEC823}</author>
    <author>tc={9E1A86C7-B68F-4C3F-A541-AFFB6C33E232}</author>
    <author>tc={27E8BF09-7769-4970-907C-18947A905129}</author>
  </authors>
  <commentList>
    <comment ref="F21" authorId="0" shapeId="0" xr:uid="{CA577249-06E9-4C34-9692-20F37DCEC823}">
      <text>
        <t>[Threaded comment]
Your version of Excel allows you to read this threaded comment; however, any edits to it will get removed if the file is opened in a newer version of Excel. Learn more: https://go.microsoft.com/fwlink/?linkid=870924
Comment:
    Noturno</t>
      </text>
    </comment>
    <comment ref="F23" authorId="1" shapeId="0" xr:uid="{9E1A86C7-B68F-4C3F-A541-AFFB6C33E232}">
      <text>
        <t>[Threaded comment]
Your version of Excel allows you to read this threaded comment; however, any edits to it will get removed if the file is opened in a newer version of Excel. Learn more: https://go.microsoft.com/fwlink/?linkid=870924
Comment:
    Noturno</t>
      </text>
    </comment>
    <comment ref="F30" authorId="2" shapeId="0" xr:uid="{27E8BF09-7769-4970-907C-18947A905129}">
      <text>
        <t xml:space="preserve">[Threaded comment]
Your version of Excel allows you to read this threaded comment; however, any edits to it will get removed if the file is opened in a newer version of Excel. Learn more: https://go.microsoft.com/fwlink/?linkid=870924
Comment:
    Contratação: Engenheiro - foco em desenvolvimento mobile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tc={CB4E42E5-23DF-43AF-A0EA-8902F0F56F39}</author>
  </authors>
  <commentList>
    <comment ref="V24" authorId="0" shapeId="0" xr:uid="{CB4E42E5-23DF-43AF-A0EA-8902F0F56F39}">
      <text>
        <t xml:space="preserve">[Threaded comment]
Your version of Excel allows you to read this threaded comment; however, any edits to it will get removed if the file is opened in a newer version of Excel. Learn more: https://go.microsoft.com/fwlink/?linkid=870924
Comment:
    Foi negociado com o cliente a redução de senioridade devido ao momento de falta de orçamento.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tc={3D7B5A16-2573-44EA-BAD8-DF3CC2C93407}</author>
    <author>tc={CBC4EB25-39B1-4A4F-AA76-D1FBF132DD9D}</author>
    <author>tc={3A66403A-6073-411F-A30A-99FDE2DB2950}</author>
    <author>tc={A6893FEC-107E-4258-81AE-2E96FABE316F}</author>
    <author>tc={25598C87-B5D5-4F79-B2B1-CB554CA4FD22}</author>
    <author>tc={8027FFA5-1467-4611-9F2A-EE776AD40FD1}</author>
  </authors>
  <commentList>
    <comment ref="J9" authorId="0" shapeId="0" xr:uid="{3D7B5A16-2573-44EA-BAD8-DF3CC2C93407}">
      <text>
        <t>[Threaded comment]
Your version of Excel allows you to read this threaded comment; however, any edits to it will get removed if the file is opened in a newer version of Excel. Learn more: https://go.microsoft.com/fwlink/?linkid=870924
Comment:
    Valor fechado: R$ 10.000</t>
      </text>
    </comment>
    <comment ref="J10" authorId="1" shapeId="0" xr:uid="{CBC4EB25-39B1-4A4F-AA76-D1FBF132DD9D}">
      <text>
        <t>[Threaded comment]
Your version of Excel allows you to read this threaded comment; however, any edits to it will get removed if the file is opened in a newer version of Excel. Learn more: https://go.microsoft.com/fwlink/?linkid=870924
Comment:
    ILATI - 2.588,72
DA - 5.811,28</t>
      </text>
    </comment>
    <comment ref="J31" authorId="2" shapeId="0" xr:uid="{3A66403A-6073-411F-A30A-99FDE2DB2950}">
      <text>
        <t xml:space="preserve">[Threaded comment]
Your version of Excel allows you to read this threaded comment; however, any edits to it will get removed if the file is opened in a newer version of Excel. Learn more: https://go.microsoft.com/fwlink/?linkid=870924
Comment:
    CLT R$ 2,881.22 
ILATI R$ 9.118,78
ENGENHEIRO DE SISTEMAS III
</t>
      </text>
    </comment>
    <comment ref="A92" authorId="3" shapeId="0" xr:uid="{A6893FEC-107E-4258-81AE-2E96FABE316F}">
      <text>
        <t>[Threaded comment]
Your version of Excel allows you to read this threaded comment; however, any edits to it will get removed if the file is opened in a newer version of Excel. Learn more: https://go.microsoft.com/fwlink/?linkid=870924
Comment:
    Antiga OS 38</t>
      </text>
    </comment>
    <comment ref="A95" authorId="4" shapeId="0" xr:uid="{25598C87-B5D5-4F79-B2B1-CB554CA4FD22}">
      <text>
        <t>[Threaded comment]
Your version of Excel allows you to read this threaded comment; however, any edits to it will get removed if the file is opened in a newer version of Excel. Learn more: https://go.microsoft.com/fwlink/?linkid=870924
Comment:
    Antiga OS 38</t>
      </text>
    </comment>
    <comment ref="S136" authorId="5" shapeId="0" xr:uid="{8027FFA5-1467-4611-9F2A-EE776AD40FD1}">
      <text>
        <t>[Threaded comment]
Your version of Excel allows you to read this threaded comment; however, any edits to it will get removed if the file is opened in a newer version of Excel. Learn more: https://go.microsoft.com/fwlink/?linkid=870924
Comment:
    Durante minhas férias foi ajustado o perfil do profissional como redução de taxa na negociação da Veloe, passando para Desenvolvedor Front 
End Javascript Sênior R$ 152,86</t>
      </text>
    </comment>
  </commentList>
</comments>
</file>

<file path=xl/sharedStrings.xml><?xml version="1.0" encoding="utf-8"?>
<sst xmlns="http://schemas.openxmlformats.org/spreadsheetml/2006/main" count="2785" uniqueCount="731">
  <si>
    <t>OS</t>
  </si>
  <si>
    <t>PROFISSIONAL</t>
  </si>
  <si>
    <t>E-mail</t>
  </si>
  <si>
    <t>Gestor</t>
  </si>
  <si>
    <t>PERFIL</t>
  </si>
  <si>
    <t xml:space="preserve">CARGO </t>
  </si>
  <si>
    <t>SENIORIDADE</t>
  </si>
  <si>
    <t>STATUS</t>
  </si>
  <si>
    <t>TIPO DE CONTRATAÇÃO</t>
  </si>
  <si>
    <t>DATA INÍCIO</t>
  </si>
  <si>
    <t>DATA DE SAÍDA</t>
  </si>
  <si>
    <t>VIGÊNCIA OS: INÍCIO</t>
  </si>
  <si>
    <t>VIGÊNCIA OS: DATA FIM</t>
  </si>
  <si>
    <t>PRAZO RENOVAÇÃO OS</t>
  </si>
  <si>
    <t>VALOR CLT</t>
  </si>
  <si>
    <t>VALOR ESTRATÉGICO</t>
  </si>
  <si>
    <t>HORAS TRABALHADAS</t>
  </si>
  <si>
    <t>R$ PAGAMENTO</t>
  </si>
  <si>
    <t>OUTROS</t>
  </si>
  <si>
    <t>R$ TAXA FATURAMENTO</t>
  </si>
  <si>
    <t>Faturamento Renovação 2025</t>
  </si>
  <si>
    <t>HORAS TRABALHADAS2</t>
  </si>
  <si>
    <t>VALOR TOTAL DE FATURAMENTO</t>
  </si>
  <si>
    <t>ADRIANO MARTINS DE MELO</t>
  </si>
  <si>
    <t>amelo.taking@alelo.com.br</t>
  </si>
  <si>
    <t>Neusa Theodoro Henriques de Araújo</t>
  </si>
  <si>
    <t xml:space="preserve">ANALISTA DE NEGÓCIOS </t>
  </si>
  <si>
    <t>ANALISTA DE NEGÓCIOS IV</t>
  </si>
  <si>
    <t>SÊNIOR</t>
  </si>
  <si>
    <t>ATIVO</t>
  </si>
  <si>
    <t>CLT ESTRÁTEGICO</t>
  </si>
  <si>
    <t>ANDREA DA SILVA MORAIS</t>
  </si>
  <si>
    <t>amorais.taking@alelo.com.br</t>
  </si>
  <si>
    <t>Jessica Pamela Simões</t>
  </si>
  <si>
    <t>TESTE AUTOMATIZADO SÊNIOR</t>
  </si>
  <si>
    <t>CONSULTOR DE TESTE I</t>
  </si>
  <si>
    <t>BRUNA FREITAS SCHWETTER</t>
  </si>
  <si>
    <t>bschwetter.taking@alelo.com.br</t>
  </si>
  <si>
    <t>Ana Beatriz Acioli de Oliveira Genu - PO (sem gestor no momento)</t>
  </si>
  <si>
    <t xml:space="preserve">DSR - ANALISTA DE TESTES </t>
  </si>
  <si>
    <t>ANALISTA DE TESTE III- Funcional</t>
  </si>
  <si>
    <t>CELSO ERON PICCIRILLO DE ALMEIDA SILVA</t>
  </si>
  <si>
    <t>calmeida.taking@alelo.com.br</t>
  </si>
  <si>
    <t xml:space="preserve">SDM - DESENVOLVEDOR DE MASSA DE TESTES </t>
  </si>
  <si>
    <t>ANALISTA DE TESTE II ESPECIAL</t>
  </si>
  <si>
    <t>PLENO</t>
  </si>
  <si>
    <t>CHRISTIAN EDUARDO BUGAY</t>
  </si>
  <si>
    <t>chbugay.taking@alelo.com.br</t>
  </si>
  <si>
    <t>Thais Dantas de Arruda Guimaraes</t>
  </si>
  <si>
    <t>TESTE ATUTOMATIZADO</t>
  </si>
  <si>
    <t>ANALISTA DE TESTES IV</t>
  </si>
  <si>
    <t>ja enviado proposta para renovação</t>
  </si>
  <si>
    <t>EDINEI FERREIRA DOS SANTOS</t>
  </si>
  <si>
    <t>esantos.taking@alelo.com.br</t>
  </si>
  <si>
    <t>Jessica Bueno</t>
  </si>
  <si>
    <t>31/12/2026_x000D_</t>
  </si>
  <si>
    <t>EDUARDO GONCALVES</t>
  </si>
  <si>
    <t>egoncalves.taking@alelo.com.br</t>
  </si>
  <si>
    <t>Guilherme Luiz Goes Alecio</t>
  </si>
  <si>
    <t xml:space="preserve">PMO </t>
  </si>
  <si>
    <t>ANALISTA DE PROJETOS V</t>
  </si>
  <si>
    <t>ESPECIALISTA</t>
  </si>
  <si>
    <t>FELIPE FERRACINI VALNEIROS</t>
  </si>
  <si>
    <t xml:space="preserve"> fferracini.taking@alelo.com.br</t>
  </si>
  <si>
    <t xml:space="preserve">Cleison Carlos Pimenta da Silva </t>
  </si>
  <si>
    <t>ISABELLA ESTEVES DE SANTANA</t>
  </si>
  <si>
    <t>lfurquim.taking@alelo.com.br</t>
  </si>
  <si>
    <t>Karen Cristina Diaz Caruso Balazshazi</t>
  </si>
  <si>
    <t>ANALISTA DE PROJETO</t>
  </si>
  <si>
    <t>ANALISTA DE PROJETOS E PROCESSOS JUNIOR</t>
  </si>
  <si>
    <t>JUNIOR</t>
  </si>
  <si>
    <t>KARINE CASSIA CANDIDA PIO</t>
  </si>
  <si>
    <t>kbalazshazi@alelo.com.br</t>
  </si>
  <si>
    <t>CURADOR</t>
  </si>
  <si>
    <t>CURADOR SENIOR</t>
  </si>
  <si>
    <t>LUCAS FURQUIM DE SOUZA</t>
  </si>
  <si>
    <t>PMO</t>
  </si>
  <si>
    <t>ANALISTA DE PROJETOS IV</t>
  </si>
  <si>
    <t>LUIS FELIPE BONFA DA SILVA</t>
  </si>
  <si>
    <t>lbonfa.taking@alelo.com.br</t>
  </si>
  <si>
    <t>Andre Luiz de Oliveira</t>
  </si>
  <si>
    <t>AGILE COACH</t>
  </si>
  <si>
    <t>Agile Master Pleno</t>
  </si>
  <si>
    <t>MAYRA VALQUIRIA SILVA DA COSTA</t>
  </si>
  <si>
    <t>mcosta.taking@alelo.com.br</t>
  </si>
  <si>
    <t>Sebastian Adolfo Araguis / Thais Dantas</t>
  </si>
  <si>
    <t xml:space="preserve">AET - AUTOMATIZADOR </t>
  </si>
  <si>
    <t>SELMA FREITAS ARAUJO MARCO</t>
  </si>
  <si>
    <t>smarco.taking@alelo.com.br</t>
  </si>
  <si>
    <t>Elaine Magnani</t>
  </si>
  <si>
    <t>ESPECIALISTA EM PROCESSOS</t>
  </si>
  <si>
    <t>ANALISTA DE NEGÓCIOS V</t>
  </si>
  <si>
    <t>WELLINGTON DOS SANTOS BRITO</t>
  </si>
  <si>
    <t>wbrito.taking@alelo.com.br</t>
  </si>
  <si>
    <t>Victor de Oliveira e Silva</t>
  </si>
  <si>
    <t>ADRIANO DA SILVA MOREIRA</t>
  </si>
  <si>
    <t>adriano.moreira@taking.com.br</t>
  </si>
  <si>
    <t>Robson Mendes Da Silva</t>
  </si>
  <si>
    <t>Analista de Segurança da Informação Sênior</t>
  </si>
  <si>
    <t>ANALISTA DE SEGURANÇA DA INFORMAÇÃO SENIOR</t>
  </si>
  <si>
    <t xml:space="preserve">ATIVO </t>
  </si>
  <si>
    <t>CLT ESTRATÉGICO</t>
  </si>
  <si>
    <t>SIDNEY HIDEKAZU MIYAGUI</t>
  </si>
  <si>
    <t>sidney.miyagui@taking.com.br</t>
  </si>
  <si>
    <t>Washington da Silva</t>
  </si>
  <si>
    <t xml:space="preserve">DESENVOLVEDOR FULLSTACK </t>
  </si>
  <si>
    <t>Email</t>
  </si>
  <si>
    <t xml:space="preserve">Contato </t>
  </si>
  <si>
    <t>PERFIL FATURAMENTO</t>
  </si>
  <si>
    <t>CARGO</t>
  </si>
  <si>
    <t>TOTAL FATURAMENTO</t>
  </si>
  <si>
    <t>Coluna1</t>
  </si>
  <si>
    <t>ADILSON CUNHA</t>
  </si>
  <si>
    <t>acunha.taking@livelo.com.br</t>
  </si>
  <si>
    <t>Arthur de La Mano/Esdras Adiel Gomes dos Santos Faconi</t>
  </si>
  <si>
    <t>esdras.faconi@livelo.com.br / 11 96180-7671</t>
  </si>
  <si>
    <t xml:space="preserve">Analista de Automação </t>
  </si>
  <si>
    <t>ANALISTA DE PROCESSOS III</t>
  </si>
  <si>
    <t>ADRYEL VICENTE DA SILVA JULIAO</t>
  </si>
  <si>
    <t xml:space="preserve"> adryel.juliao@taking.com.br</t>
  </si>
  <si>
    <t>Gabriel Chaves</t>
  </si>
  <si>
    <t>gabriel.chaves@livelo.com.br/ 11 99424-0132</t>
  </si>
  <si>
    <t>Desenvolvedor(a) Front End - Javascript</t>
  </si>
  <si>
    <t>ENGENHEIRO DE SOFTWARE PLENO</t>
  </si>
  <si>
    <t>ANDERSON ANTONIO BORGES DE FREITAS</t>
  </si>
  <si>
    <t>Gloria Maia dos Santos</t>
  </si>
  <si>
    <t>gloria.santos@livelo.com.br / 11 98058-0122</t>
  </si>
  <si>
    <t>ANALISTA COMMAND CENTER PLENO</t>
  </si>
  <si>
    <t>ANALISTA COMMAND CENTER</t>
  </si>
  <si>
    <t>BILLYFRANKLIM AVELINO PEREIRA</t>
  </si>
  <si>
    <t xml:space="preserve">billyfranklim.pereira@taking.com.br </t>
  </si>
  <si>
    <t>Douglas Silva</t>
  </si>
  <si>
    <t>douglas.silva@livelo.com.br</t>
  </si>
  <si>
    <t>DESENVOLVEDOR FULLSTACK</t>
  </si>
  <si>
    <t>ENGENHEIRO DE SISTEMA V</t>
  </si>
  <si>
    <t>CAIO CESAR DA SILVA MOURA</t>
  </si>
  <si>
    <t xml:space="preserve">caio.moura@taking.com.br </t>
  </si>
  <si>
    <t>Edivaldo/ Marcelo Fonseca</t>
  </si>
  <si>
    <t>11 98911-8954 / marcelo.silva@livelo.com.br</t>
  </si>
  <si>
    <t>ENGENHEIRO DE DADOS</t>
  </si>
  <si>
    <t>CONSULTOR ORACLE ODI</t>
  </si>
  <si>
    <t>CAIO EIJI ARAI</t>
  </si>
  <si>
    <t>caio.arai@taking.com.br</t>
  </si>
  <si>
    <t>Analista de Command Center Pleno</t>
  </si>
  <si>
    <t>CAIO PETITTO BASSI</t>
  </si>
  <si>
    <t>Matheus Kaue dos Santos Ribeiro/Yves Mendes Galvao</t>
  </si>
  <si>
    <t>yves.galvao@livelo.com.br/matheus.ribeiro@livelo.com.br</t>
  </si>
  <si>
    <t>Engenheiro de Software</t>
  </si>
  <si>
    <t>ENGENHEIRO DE SOFTWARE ESPECIALISTA</t>
  </si>
  <si>
    <t>CAMILA SALLES OLIVEIRA</t>
  </si>
  <si>
    <t>csalles.taking@livelo.com.br</t>
  </si>
  <si>
    <t>Gabriela Gontijo Melo/ Maria Carolina Mendes Garcia da Silva Santos</t>
  </si>
  <si>
    <t>gabriela.melo@livelo.com.br/ 31 9243-2519</t>
  </si>
  <si>
    <t>ANALISTA DE SUSTENTAÇÃO</t>
  </si>
  <si>
    <t>ANALISTA DE SUSTENTACAO PLENO</t>
  </si>
  <si>
    <t>CARLOS RAFAEL FERREIRA CARVALHO</t>
  </si>
  <si>
    <t xml:space="preserve">carlos.ferreira@taking.com.br </t>
  </si>
  <si>
    <t>Julia Chiarello PassamaniRafael Magalhaes De Souza &lt;&gt;</t>
  </si>
  <si>
    <t>julia.passamani@livelo.com.br</t>
  </si>
  <si>
    <t>DESENVOLVEDOR BACKEND PYTHON</t>
  </si>
  <si>
    <t>DESENVOLVEDOR JAVA</t>
  </si>
  <si>
    <t>CESAR AUGUSTO DOS SANTOS ALMEIDA JUNIOR</t>
  </si>
  <si>
    <t>cesar.junior@taking.com.br</t>
  </si>
  <si>
    <t>Jéssica Galdino Leite Vilela/Jose de Paula Carvalho Neto</t>
  </si>
  <si>
    <t xml:space="preserve">Desenvolvedor Back End Python </t>
  </si>
  <si>
    <t>DESENVOLVEDOR FRONT-END JAVA SCRIPT</t>
  </si>
  <si>
    <t>CICERO ALVES DUARTE FILHO</t>
  </si>
  <si>
    <t xml:space="preserve">cicero.duarte@taking.com.br </t>
  </si>
  <si>
    <t>DESENVOLVEDOR FRONTEND JAVA SCRIPT</t>
  </si>
  <si>
    <t>DESENVOLVEDOR III</t>
  </si>
  <si>
    <t>CLEBSON GABRIEL SANTOS TRINDADE</t>
  </si>
  <si>
    <t>gabriel.trindade@taking.com.br</t>
  </si>
  <si>
    <t>ANALISTA TECNICO SENIOR</t>
  </si>
  <si>
    <t>DIEGO COSTA SANTOS</t>
  </si>
  <si>
    <t xml:space="preserve">dsantos.taking@livelo.com.br </t>
  </si>
  <si>
    <t>COMMAND CENTER</t>
  </si>
  <si>
    <t>ANALISTA TÉCNICO ESPECIALISTA IV</t>
  </si>
  <si>
    <t>DIEGO SILVA SANTOS ROCHA</t>
  </si>
  <si>
    <t xml:space="preserve">diego.rocha@taking.com.br </t>
  </si>
  <si>
    <t>Andressa Ferreira/ Marcelo Fonseca</t>
  </si>
  <si>
    <t>TESTE AUTOMATIZADO</t>
  </si>
  <si>
    <t>ENGENHEIRO DE SOFTWARE</t>
  </si>
  <si>
    <t>DIOGO WAGNER FERREIRA MOURA</t>
  </si>
  <si>
    <t xml:space="preserve">diogo.moura@taking.com.br </t>
  </si>
  <si>
    <t>Felipe Batista Ferreira Monteiro/Guilherme Tonetto</t>
  </si>
  <si>
    <t>DESENVOLVEDOR FRONTEND REACT JS</t>
  </si>
  <si>
    <t>DESENVOLVEDOR DE APP REACT NATIVE</t>
  </si>
  <si>
    <t>DOUGLAS DO NASCIMENTO GUEDES</t>
  </si>
  <si>
    <t>douglas.guedes@taking.com.br</t>
  </si>
  <si>
    <t>Gabriela Gontijo Melo</t>
  </si>
  <si>
    <t>ANALISTA DE SUSTENTAÇÃO PLENO</t>
  </si>
  <si>
    <t>EDUARDO RIBEIRO DE ANDRADE JUNIOR</t>
  </si>
  <si>
    <t>ejunior.taking@livelo.com.br</t>
  </si>
  <si>
    <t>FABIANA RIBEIRO SANTOS NEPOMUCENO</t>
  </si>
  <si>
    <t>fnepomuceno.taking@livelo.com.br</t>
  </si>
  <si>
    <t>Luanna Traversin Figueira Bertipaglia Rubio/Rogerio Santos</t>
  </si>
  <si>
    <t>ANALISTA GESTÃO DE MUDANÇA</t>
  </si>
  <si>
    <t>ANALISTA TECNICO III</t>
  </si>
  <si>
    <t>FABRICIO BERNARDO DE OLIVEIRA</t>
  </si>
  <si>
    <t xml:space="preserve"> foliveira.taking@livelo.com.br</t>
  </si>
  <si>
    <t>ANALISTA TECNICO ESPECIALISTA IV</t>
  </si>
  <si>
    <t>GABRIEL HENRIQUE ROCHA DE OLIVEIRA</t>
  </si>
  <si>
    <t>gabriel.oliveira@taking.com.br</t>
  </si>
  <si>
    <t>Bruno Laureano Titos Moreno</t>
  </si>
  <si>
    <t>SRE Pleno</t>
  </si>
  <si>
    <t>GUILHERME DIAS LOPES</t>
  </si>
  <si>
    <t>guilherme.lopes@taking.com.br</t>
  </si>
  <si>
    <t>Leticia Ramos Batista/ Tiago Reis</t>
  </si>
  <si>
    <t>BACKENN PYTHON</t>
  </si>
  <si>
    <t>DESENVOLVEDOR BACKEND PLENO</t>
  </si>
  <si>
    <t>HENRIQUE SUEL DA SILVA</t>
  </si>
  <si>
    <t xml:space="preserve"> henrique.suel@taking.com.br</t>
  </si>
  <si>
    <t>Thiago Costa Moreira</t>
  </si>
  <si>
    <t>ENGENHEIRO DE SISTEMAS IV</t>
  </si>
  <si>
    <t>IGOR JOSE DE OLIVEIRA</t>
  </si>
  <si>
    <t>ioliveira.taking@livelo.com.br</t>
  </si>
  <si>
    <t>JESSE DANTAS LIMA</t>
  </si>
  <si>
    <t>jesse.lima@taking.com.br</t>
  </si>
  <si>
    <t>Kayan Fialho Hallack/Flavio dos Santos Malaquias</t>
  </si>
  <si>
    <t>-</t>
  </si>
  <si>
    <t>JORGE ONEY LOPES TEIXEIRA</t>
  </si>
  <si>
    <t xml:space="preserve">jorge.oney@taking.com.br </t>
  </si>
  <si>
    <t>DESENVOLVEDOR BACK END PYTHON</t>
  </si>
  <si>
    <t>JOSE OTAVIO DOS SANTOS</t>
  </si>
  <si>
    <t>jose.otavio@taking.com.br</t>
  </si>
  <si>
    <t>Julliane Cristinne Magero Elihimas/ Vinicius Graciola Pardini</t>
  </si>
  <si>
    <t>ANALISTA DESENVOLVEDOR IV</t>
  </si>
  <si>
    <t>JOSE VINICIUS SANTOS DE MELO</t>
  </si>
  <si>
    <t xml:space="preserve"> jose.melo@taking.com.br</t>
  </si>
  <si>
    <t>Marcílio Cobel / Naian Dias Alves</t>
  </si>
  <si>
    <t>DESENVOLVEDOR BACKEND</t>
  </si>
  <si>
    <t>KAE TEIXEIRA BENNING LEAL</t>
  </si>
  <si>
    <t>kae.leal@taking.com.br</t>
  </si>
  <si>
    <t>Felipe Lanzarin/Guilherme Tonetto</t>
  </si>
  <si>
    <t xml:space="preserve">ENGENHEIRO DE SOFTWARE </t>
  </si>
  <si>
    <t>karinecassia@outlook.com</t>
  </si>
  <si>
    <t>Karen Cristina Díaz Caruso Balazshazi</t>
  </si>
  <si>
    <t>kbalazshazi@alelo.com.br/11 93345-3659</t>
  </si>
  <si>
    <t>Curador Sênior</t>
  </si>
  <si>
    <t>MAGNA ROMANA DOS REIS SANTOS</t>
  </si>
  <si>
    <t>magna.santos@taking.com.br</t>
  </si>
  <si>
    <t>Felipe Oliveira França/ Flávio dos Santos Malaquias</t>
  </si>
  <si>
    <t>DESENVOLVEDOR BACK-END PLENO</t>
  </si>
  <si>
    <t>MARCOS VINICIUS DOARTE DA ROCHA</t>
  </si>
  <si>
    <t xml:space="preserve">marcos.rocha@taking.com.br </t>
  </si>
  <si>
    <t>Barbara  Almeida / Diego Ulrich Zegaib</t>
  </si>
  <si>
    <t>AGILE MASTER</t>
  </si>
  <si>
    <t/>
  </si>
  <si>
    <t>NAIANE VIRGINIA VALENTE FERREIRA MACEDO</t>
  </si>
  <si>
    <t>naiane.macedo@taking.com.br</t>
  </si>
  <si>
    <t>Rogerio Oliveira Santos</t>
  </si>
  <si>
    <t>SUPERVISOR DE OPERACOES (EPS)</t>
  </si>
  <si>
    <t>PEDRO HENRIQUE RODRIGUES</t>
  </si>
  <si>
    <t xml:space="preserve">pedro.rodrigues@taking.com.br </t>
  </si>
  <si>
    <t>RAFAEL FERREIRA SILVA MATOS</t>
  </si>
  <si>
    <t xml:space="preserve">rafael.matos@taking.com.br </t>
  </si>
  <si>
    <t>Maicon Slavieiro/ Vinicius Graciola Pardini</t>
  </si>
  <si>
    <t>RENAN PEREIRA CESARIO</t>
  </si>
  <si>
    <t>renan.cesario@taking.com.br</t>
  </si>
  <si>
    <t>11 98058-0122 / gloria.santos@livelo.com.br</t>
  </si>
  <si>
    <t xml:space="preserve">ANALISTA COMMAND CENTER </t>
  </si>
  <si>
    <t>SANDRO BENTO PECINATTI</t>
  </si>
  <si>
    <t>specinatti.taking@livelo.com.br</t>
  </si>
  <si>
    <t>SRE - RELIABILITY ENGINEERING</t>
  </si>
  <si>
    <t>ADMINISTRADOR DE INFRA ESPECIALISTA V</t>
  </si>
  <si>
    <t>VICTOR HUGO MIRA CASAGRANDE</t>
  </si>
  <si>
    <t>victor.casagrande@taking.com.br</t>
  </si>
  <si>
    <t>Desenvolvedor RPA Pleno</t>
  </si>
  <si>
    <t>VICTOR RODRIGUES GOMES</t>
  </si>
  <si>
    <t>vgomes.taking@livelo.com.br</t>
  </si>
  <si>
    <t>DESENVOLVIMENTO PYTHON COM ENFASE EM RPA E AUTOMAÇÃO SENIOR</t>
  </si>
  <si>
    <t>VALOR HORA</t>
  </si>
  <si>
    <t>R$ VALOR DE PAGAMENTO</t>
  </si>
  <si>
    <t>R$TAXA FATURAMENTO</t>
  </si>
  <si>
    <t>ALAN DE ALENCAR ABRANTE</t>
  </si>
  <si>
    <t>Aabrante.taking@veloe.com.br </t>
  </si>
  <si>
    <t>Adriano Peres</t>
  </si>
  <si>
    <t xml:space="preserve">ENGENHEIRO DE DADOS </t>
  </si>
  <si>
    <t>PJ</t>
  </si>
  <si>
    <t>ARIEL VELARDO PATERNOSTRE DA SILVA</t>
  </si>
  <si>
    <t>asilva.taking@veloe.com.br</t>
  </si>
  <si>
    <t>Elias Leite Francisco</t>
  </si>
  <si>
    <t>CIENTISTA DE DADOS</t>
  </si>
  <si>
    <t>CIENTISTA DE DADOS SENIOR</t>
  </si>
  <si>
    <t>BIANCA PAULINO CASTRO DOS SANTOS</t>
  </si>
  <si>
    <t>bsantos.taking@veloe.com.br </t>
  </si>
  <si>
    <t>ENGENHEIRO DE DADOS SENIOR</t>
  </si>
  <si>
    <t>DAVID PACHECO CERQUEIRA</t>
  </si>
  <si>
    <t>dcerqueira.taking@veloe.com.br</t>
  </si>
  <si>
    <t>Fernando Takaasi</t>
  </si>
  <si>
    <t>ARQUITETO - ESPECIALISTA</t>
  </si>
  <si>
    <t>ESPECIALISTA II</t>
  </si>
  <si>
    <t>GRAZIELLE AZEVEDO SILVA</t>
  </si>
  <si>
    <t>gsilva.taking@veloe.com.br</t>
  </si>
  <si>
    <t>Andrey Almeida</t>
  </si>
  <si>
    <t>ENGENHEIRO DE DADOS JUNIOR</t>
  </si>
  <si>
    <t>HALINE HELLEN HOSHI HONDA</t>
  </si>
  <si>
    <t>hhonda.taking@veloe.com.br</t>
  </si>
  <si>
    <t>ENGENHEIRO DE DADOS I - COM FOCO EM ARQUITETURA DE DADOS</t>
  </si>
  <si>
    <t>ESPECIALISTA I</t>
  </si>
  <si>
    <t>HENRIQUE RODRIGUES DOS SANTOS</t>
  </si>
  <si>
    <t>hsantos.taking@veloe.com.br </t>
  </si>
  <si>
    <t>JÚNIOR</t>
  </si>
  <si>
    <t xml:space="preserve">PJ </t>
  </si>
  <si>
    <t>JONAS VERAS ARAUJO</t>
  </si>
  <si>
    <t>jaraujo.taking@veloe.com.br </t>
  </si>
  <si>
    <t>Marcelo Dorighello</t>
  </si>
  <si>
    <t xml:space="preserve">DBA </t>
  </si>
  <si>
    <t>DBA SENIOR</t>
  </si>
  <si>
    <t>SÊNIOR II</t>
  </si>
  <si>
    <t xml:space="preserve">já enviado proposta para a renovação </t>
  </si>
  <si>
    <t>JULIANA MARIA LENZI DE CAMPOS</t>
  </si>
  <si>
    <t>jcampos.taking@veloe.com.br </t>
  </si>
  <si>
    <t>Gisele Carvalho</t>
  </si>
  <si>
    <t>ANALISTA DE GOVERNANÇA</t>
  </si>
  <si>
    <t>ANALISTA DE PERFORMANCE</t>
  </si>
  <si>
    <t>SENIOR</t>
  </si>
  <si>
    <t>LUCAS MATIAS ADAMS</t>
  </si>
  <si>
    <t>ladams.taking@veloe.com.br</t>
  </si>
  <si>
    <t>Iago Lopes de Lima</t>
  </si>
  <si>
    <t>TECH LEAD</t>
  </si>
  <si>
    <t>LUIZ AUGUSTO DZIS</t>
  </si>
  <si>
    <t>ldzis.taking@veloe.com.br</t>
  </si>
  <si>
    <t>Daniel Antunes</t>
  </si>
  <si>
    <t>SRE - Reliability Engineering</t>
  </si>
  <si>
    <t>ARQUITETO CORPORATIVO/SOLUÇÕES</t>
  </si>
  <si>
    <t>LUIZ FERNANDO TUSCHINSKI</t>
  </si>
  <si>
    <t>ltuschinski.taking@veloe.com.br</t>
  </si>
  <si>
    <t>Daniel Antunes/Viviane de Oliveira Gomes</t>
  </si>
  <si>
    <t>ARQUITETO DE SOLUÕES</t>
  </si>
  <si>
    <t>ARQUITETO DE API</t>
  </si>
  <si>
    <t>MARIA VILMA DA SILVA</t>
  </si>
  <si>
    <t>msilva.taking@veloe.com.br </t>
  </si>
  <si>
    <t>ENGENHEIRO DE DADOS SÊNIOR</t>
  </si>
  <si>
    <t>MICHELE DE ALMEIDA CHEIDA</t>
  </si>
  <si>
    <t>ENGENHEIRO DE DADOS ESPECIALISTA</t>
  </si>
  <si>
    <t>MURILO DA CUNHA PIVA</t>
  </si>
  <si>
    <t>mpiva.taking@veloe.com.br </t>
  </si>
  <si>
    <t>NATAN GOMES DAVID</t>
  </si>
  <si>
    <t>ndavid.taking@veloe.com.br </t>
  </si>
  <si>
    <t>ENGENHEIRO DE DADOS PLENO</t>
  </si>
  <si>
    <t>RENATO TILELLI</t>
  </si>
  <si>
    <t>rtilelli.taking@veloe.com.br</t>
  </si>
  <si>
    <t>Adriano Vaz</t>
  </si>
  <si>
    <t>VALUE STREAM MAPPER</t>
  </si>
  <si>
    <t>AGILE COACH ESPECIALISTA I</t>
  </si>
  <si>
    <t>RENNAN STEFAN BONI</t>
  </si>
  <si>
    <t>rennan.boni@taking.com.br</t>
  </si>
  <si>
    <t>Especialista de Plataforma de Engenharia</t>
  </si>
  <si>
    <t>ROBERTO NOBUO NAKAGAWA</t>
  </si>
  <si>
    <t>rnakagawa.taking@veloe.com.br </t>
  </si>
  <si>
    <t>ESPECIALISTA DE GOVERNANÇA DE DADOS</t>
  </si>
  <si>
    <t>SIMONI SALETE ZAMBON MARINONY FERNANDES</t>
  </si>
  <si>
    <t>sfernandes.taking@veloe.com.br</t>
  </si>
  <si>
    <t>LÍDER TÉCNICO</t>
  </si>
  <si>
    <t>LIDER TECNICO SENIOR</t>
  </si>
  <si>
    <t>Faturamento 2026</t>
  </si>
  <si>
    <t>DIEGO PINHO BULHOSA</t>
  </si>
  <si>
    <t>dbulhosa.taking@pedepronto.com.br</t>
  </si>
  <si>
    <t>DESENVOLVEDOR FRONT END SENIOR</t>
  </si>
  <si>
    <t>LEANDRO OLIVEIRA SENA</t>
  </si>
  <si>
    <t>lsena.taking@pedepronto.com.br</t>
  </si>
  <si>
    <t xml:space="preserve">DESENVOLVEDOR FRONT END NODE JS </t>
  </si>
  <si>
    <t xml:space="preserve">proposta enviada para renovação </t>
  </si>
  <si>
    <t>RAFAEL SOARES SANTOS</t>
  </si>
  <si>
    <t>rsantos.taking@pedepronto.com.br</t>
  </si>
  <si>
    <t xml:space="preserve">TESTE AUTOMATIZADO </t>
  </si>
  <si>
    <t>RENE SABBATINI DE ALMEIDA</t>
  </si>
  <si>
    <t>ralmeida.taking@pedepronto.com.br</t>
  </si>
  <si>
    <t xml:space="preserve">Giovanna Jesus </t>
  </si>
  <si>
    <t>ESPECIALISTA EM GERENTE DE PRODUTO</t>
  </si>
  <si>
    <t>RODRIGO VIANA CAMPOS</t>
  </si>
  <si>
    <t>rcampos.taking@pedepronto.com</t>
  </si>
  <si>
    <t>AUTOMATIZADOR DE TESTES SENIOR</t>
  </si>
  <si>
    <t>VIRGINIA LINS PONTES</t>
  </si>
  <si>
    <t>vpontes.taking@alelo.com.br</t>
  </si>
  <si>
    <t>Robson Mendes da Silva</t>
  </si>
  <si>
    <t>ANALISTA DE INFRAESTRUTURA COM VIES EM SEGURANCA DA INFORMACAO</t>
  </si>
  <si>
    <t>MICHAEL ALBA PEREIRA</t>
  </si>
  <si>
    <t>michael.alba@taking.com.br</t>
  </si>
  <si>
    <t>Fernando Massarico</t>
  </si>
  <si>
    <t>QA Automação</t>
  </si>
  <si>
    <t>KAIO BERTÃO LOPES</t>
  </si>
  <si>
    <t>kaio.lopes@taking.com.br</t>
  </si>
  <si>
    <t xml:space="preserve">                                                                                                                                                                                                                                Desligamentos Grupo Elopar</t>
  </si>
  <si>
    <t xml:space="preserve">      Livelo</t>
  </si>
  <si>
    <t xml:space="preserve"> R$                                     -  </t>
  </si>
  <si>
    <t>PRAZO RENOVAÇÃO OSI</t>
  </si>
  <si>
    <t xml:space="preserve"> R$ TAXA FATURAMENTO </t>
  </si>
  <si>
    <t> </t>
  </si>
  <si>
    <t>Adilson Souza da Silva</t>
  </si>
  <si>
    <t>Sênior</t>
  </si>
  <si>
    <t>Desligado</t>
  </si>
  <si>
    <t xml:space="preserve"> R$              -  </t>
  </si>
  <si>
    <t>Alan Honório da Silva</t>
  </si>
  <si>
    <t>Teste Automatizado Pleno</t>
  </si>
  <si>
    <t>Pleno</t>
  </si>
  <si>
    <t xml:space="preserve"> R$                       -  </t>
  </si>
  <si>
    <t>Alexsandro de Lima Silva</t>
  </si>
  <si>
    <t xml:space="preserve">Anderson Gama </t>
  </si>
  <si>
    <t>Especialista em Sistemas - SRE</t>
  </si>
  <si>
    <t>Especialista</t>
  </si>
  <si>
    <t>CLT ILATI</t>
  </si>
  <si>
    <t>Angela de Carvalho Lima</t>
  </si>
  <si>
    <t>Analista Command Center Pleno</t>
  </si>
  <si>
    <t>Bruno Luz Silva</t>
  </si>
  <si>
    <t xml:space="preserve">Desenvolvedor Back End Sênior </t>
  </si>
  <si>
    <t>Carlos Augusto da Silva Evangelista</t>
  </si>
  <si>
    <t xml:space="preserve">Analista de Gestão de Mudança </t>
  </si>
  <si>
    <t>Cássia de Oliveira Correia e Silva</t>
  </si>
  <si>
    <t xml:space="preserve">Analista Command Center </t>
  </si>
  <si>
    <t xml:space="preserve"> -</t>
  </si>
  <si>
    <t>Cintia Dias</t>
  </si>
  <si>
    <t>Analista de Observabilidade Sênior</t>
  </si>
  <si>
    <t>Denis Rafael Santos</t>
  </si>
  <si>
    <t>Automatizador Testes</t>
  </si>
  <si>
    <t>Derek Christopher dos Santos</t>
  </si>
  <si>
    <t>Diana Hartzer Vieira Feitoza</t>
  </si>
  <si>
    <t>Diego Spinucci Cavalcanti</t>
  </si>
  <si>
    <t>Teste Automatizado Sênior</t>
  </si>
  <si>
    <t>Douglas Sena Machado da Conceição</t>
  </si>
  <si>
    <t xml:space="preserve">Desenvolvedor Fullstack </t>
  </si>
  <si>
    <t>Senior</t>
  </si>
  <si>
    <t>Elaine Manoelle</t>
  </si>
  <si>
    <t>Desenvolvedor Full Stack</t>
  </si>
  <si>
    <t>Eric Jorge Barbosa Monteiro dos Santos</t>
  </si>
  <si>
    <t>Desenvolvedor Back End Python</t>
  </si>
  <si>
    <t>Gisele Martins</t>
  </si>
  <si>
    <t xml:space="preserve">Scrum Master </t>
  </si>
  <si>
    <t>Heliton Augusto Wiggers</t>
  </si>
  <si>
    <t xml:space="preserve">Teste Automatizado </t>
  </si>
  <si>
    <t>Junior</t>
  </si>
  <si>
    <t xml:space="preserve">Hygor Leonardo </t>
  </si>
  <si>
    <t xml:space="preserve">Desenvolvedor Front End React Js </t>
  </si>
  <si>
    <t>Ivanildo Augusto Nunes Nascimento</t>
  </si>
  <si>
    <t>Isaias Sousa de Melo</t>
  </si>
  <si>
    <t>Janio Gomes Fraga Junior</t>
  </si>
  <si>
    <t>Jessiani Gameleira Herculano</t>
  </si>
  <si>
    <t>Analista de Gestão de Mudança</t>
  </si>
  <si>
    <t>Jonathan da Veiga</t>
  </si>
  <si>
    <t>QA Junior</t>
  </si>
  <si>
    <t>Jose Robson Capolongo Reis Lima</t>
  </si>
  <si>
    <t>José Vinicius Alves dos Santos</t>
  </si>
  <si>
    <t>Kleber Oliveira de Sousa</t>
  </si>
  <si>
    <t>Analista Command Center</t>
  </si>
  <si>
    <t>Leonardo de Andrade Moreno</t>
  </si>
  <si>
    <t>Tech Lead</t>
  </si>
  <si>
    <t>Lead</t>
  </si>
  <si>
    <t>Lucas Porto de Souza</t>
  </si>
  <si>
    <t>Desenvolvedor Fullstack</t>
  </si>
  <si>
    <t>06/06/024</t>
  </si>
  <si>
    <t>Lucas Silva de Oliveira</t>
  </si>
  <si>
    <t>Marcus Venicius Pina Cavalcanti</t>
  </si>
  <si>
    <t>Michelly de Brito Silva</t>
  </si>
  <si>
    <t xml:space="preserve">Gestor de BackOffice </t>
  </si>
  <si>
    <t>Paulo Gomes de Almeida</t>
  </si>
  <si>
    <t>Paulo Sérgio Romão Dias</t>
  </si>
  <si>
    <t>Analista de Automação</t>
  </si>
  <si>
    <t>Ramon Crudo Pereira</t>
  </si>
  <si>
    <t>Analista Excelência Operacional (Sustentação)</t>
  </si>
  <si>
    <t>Rodrigo Bonadia Fraga</t>
  </si>
  <si>
    <t>Desenvolvedor Front End React Js</t>
  </si>
  <si>
    <t>Tamara Fernanda de Azevedo Barbosa</t>
  </si>
  <si>
    <t>Thalles Cezário da Silva</t>
  </si>
  <si>
    <t xml:space="preserve">Tech Lead </t>
  </si>
  <si>
    <t>Thayna Andrade</t>
  </si>
  <si>
    <t xml:space="preserve">Analista de Sustentação </t>
  </si>
  <si>
    <t>Thiago Lourenço</t>
  </si>
  <si>
    <t>Tyrese de Paula Nascimento</t>
  </si>
  <si>
    <t>Vanderlei Veloso Junior</t>
  </si>
  <si>
    <t>Desenvolvedor Front End Java Script</t>
  </si>
  <si>
    <t xml:space="preserve">William Henrique Melo Santos </t>
  </si>
  <si>
    <t>Christian Eduardo Bugay</t>
  </si>
  <si>
    <t>Renato Paulo Schutlz Junior</t>
  </si>
  <si>
    <t xml:space="preserve">Teste Automatizado  </t>
  </si>
  <si>
    <t>Vinicius Henrique Ferreira Vieira </t>
  </si>
  <si>
    <t>Desenvolvedor Backend Python</t>
  </si>
  <si>
    <t>Marco Aurélio Guzzoni</t>
  </si>
  <si>
    <t>KLEBER FERNANDO DOS SANTOS CANEDO FILHO</t>
  </si>
  <si>
    <t>CLT BWG</t>
  </si>
  <si>
    <t>YVES CALACI</t>
  </si>
  <si>
    <t>Desenvolvedor Fullstak</t>
  </si>
  <si>
    <t>ALAN DE JESUS SILVA</t>
  </si>
  <si>
    <t>JOAO HUDSON DE LACERDA OLIVEIRA</t>
  </si>
  <si>
    <t>Desenvolvedor Frontend Node JS</t>
  </si>
  <si>
    <t>MELISSA MONFRE DOS SANTOS</t>
  </si>
  <si>
    <t>PIETRO GUIMARAES SARAIVA</t>
  </si>
  <si>
    <t>ALLAN NICOLAU DE CAMPOS ROMANATO</t>
  </si>
  <si>
    <t xml:space="preserve">#VALOR! </t>
  </si>
  <si>
    <t>JOSE HENRIQUE FERRAZ DE MOURA</t>
  </si>
  <si>
    <t>Teste Automatizado</t>
  </si>
  <si>
    <t>MARIO DE MELO MENDONCA NETO</t>
  </si>
  <si>
    <t>ALLAN A DAMASCENO DE OLIIVEIRA</t>
  </si>
  <si>
    <t>Desenvolvedor Front End Node.Js</t>
  </si>
  <si>
    <t>VITOR DE MATOS MOREIRA</t>
  </si>
  <si>
    <t>GUSTAVO OLIVEIRA ARAUJO</t>
  </si>
  <si>
    <t>BRUNO DO AMARAL ROCHA</t>
  </si>
  <si>
    <t>ENGENHEIRO DE SOFTWARE  FRONT- END</t>
  </si>
  <si>
    <t>JOSE LUIS BATISTA DOS SANTOS JUNIOR</t>
  </si>
  <si>
    <t>ANALISTA DE NEGOCIOS III</t>
  </si>
  <si>
    <t>FELLIPE ARIEL FERNANDES MACENA</t>
  </si>
  <si>
    <t>ESIO GUSTAVO PEREIRA FREITAS</t>
  </si>
  <si>
    <t>PAULO ROBERTO BORGES DA SILVA</t>
  </si>
  <si>
    <t>CONSULTOR DE TI</t>
  </si>
  <si>
    <t>FELLIPE CAVALCANTE AMORIM</t>
  </si>
  <si>
    <t xml:space="preserve">DESENVOLVEDOR(A) FRONT END REACT JS </t>
  </si>
  <si>
    <t>MAYARA LIMA DANTAS</t>
  </si>
  <si>
    <t>ANALISTA DE TESTES II</t>
  </si>
  <si>
    <t>FLAVIO RUANITO RODRIGUES COELHO</t>
  </si>
  <si>
    <t>ROBSON DIEGO DE SOUSA</t>
  </si>
  <si>
    <t>DESENVOLVEDOR BACK-END SENIOR</t>
  </si>
  <si>
    <t>ESTEVAO BRUNO DA SILVA</t>
  </si>
  <si>
    <t>ARQUITETO DE SOFTWARE</t>
  </si>
  <si>
    <t>KAUANA ANDRADE LIMA</t>
  </si>
  <si>
    <t>ADILSON DE LIMA NASCIMENTO</t>
  </si>
  <si>
    <t>DESENVOLVEDOR JAVA BACK-END PLENO</t>
  </si>
  <si>
    <t>ARTHUR PEREIRA GUIMARAES</t>
  </si>
  <si>
    <t>ENGENHEIRO DE SOFTWARE SENIOR</t>
  </si>
  <si>
    <t>KLELVIS CARLOS DE ANDRADE</t>
  </si>
  <si>
    <t>RONALDO ARRUDA DOS SANTOS JUNIOR</t>
  </si>
  <si>
    <t>DESENVOLVEDOR FRONT REACT END</t>
  </si>
  <si>
    <t xml:space="preserve">     Alelo</t>
  </si>
  <si>
    <t>Aline Macedo Gonçalves</t>
  </si>
  <si>
    <t>ETA - Analista de Testes Sênior</t>
  </si>
  <si>
    <t>Darlene Borges Figueiredo</t>
  </si>
  <si>
    <t>AET - Automatizador Pleno</t>
  </si>
  <si>
    <t>Fabio Rabelo</t>
  </si>
  <si>
    <t>Gabriela Marques de Araujo</t>
  </si>
  <si>
    <t>DSR - Analista de Testes Junior</t>
  </si>
  <si>
    <t>Marcio José Leite de Queiroz</t>
  </si>
  <si>
    <t>Analista de Testes SR</t>
  </si>
  <si>
    <t>Rafael Vincoletto Fernandes</t>
  </si>
  <si>
    <t>MIQ - Analista de Testes Sênior</t>
  </si>
  <si>
    <t>Roberto Setsuo Yamauti</t>
  </si>
  <si>
    <t>Analista PMO</t>
  </si>
  <si>
    <t>Silvia Maria Aulik</t>
  </si>
  <si>
    <t xml:space="preserve">MIQ - Analista de Testes </t>
  </si>
  <si>
    <t>Susan Soares dos Santos</t>
  </si>
  <si>
    <t>Especialista em processos</t>
  </si>
  <si>
    <t>Michael Alba Pereira</t>
  </si>
  <si>
    <t xml:space="preserve">Analista de Testes Funcionais </t>
  </si>
  <si>
    <t>Victor Vinicius Ferreira</t>
  </si>
  <si>
    <t xml:space="preserve">EMD - Analista de Testes </t>
  </si>
  <si>
    <t>Cristian da Silva de Araujo</t>
  </si>
  <si>
    <t>Arquiteto</t>
  </si>
  <si>
    <t>Luis Henrique Lima de Sousa</t>
  </si>
  <si>
    <t>MTS - Analista de Testes</t>
  </si>
  <si>
    <t>Caique Santana de Oliveira</t>
  </si>
  <si>
    <t xml:space="preserve">DSR - Analista de Testes </t>
  </si>
  <si>
    <t>Diego de Araujo Oliveira</t>
  </si>
  <si>
    <t>LUIS FELIPE BONFÁ DA SILVA</t>
  </si>
  <si>
    <t xml:space="preserve">MARILIA GABRIELA GARRIDO </t>
  </si>
  <si>
    <t xml:space="preserve">ETF - EXECUTOR DE TESTES DE SOFTWARE FUNCIONAL </t>
  </si>
  <si>
    <t>CLT FULL</t>
  </si>
  <si>
    <t xml:space="preserve">  R$               -   </t>
  </si>
  <si>
    <t xml:space="preserve">  </t>
  </si>
  <si>
    <t>THAIS SANTOS DA SILVA</t>
  </si>
  <si>
    <t>ANA CLECIA SOARES CALESTO</t>
  </si>
  <si>
    <t xml:space="preserve">GPT - ANALISTA DE TESTES </t>
  </si>
  <si>
    <t xml:space="preserve">LUIZ FELIPE HATANAKA </t>
  </si>
  <si>
    <t xml:space="preserve">EMD - ANALISTA DE TESTES </t>
  </si>
  <si>
    <t>LUCAS SILVA OLIVEIRA</t>
  </si>
  <si>
    <t>ANALISTA  TESTES AUTOMATIZADOS</t>
  </si>
  <si>
    <t>INATIVO</t>
  </si>
  <si>
    <t>STELLA ROMBOLI</t>
  </si>
  <si>
    <t>ANALISTA DEVOPS/FINOPS</t>
  </si>
  <si>
    <t>GIULLIA DEL FRANCO LOPES MEZZANOTTI</t>
  </si>
  <si>
    <t>ANALISTA DE PROCESSOS IV</t>
  </si>
  <si>
    <t>RENATO VIEIRA DE SOUZA</t>
  </si>
  <si>
    <t>ANALISTA SRE SENIOR</t>
  </si>
  <si>
    <t xml:space="preserve">     Veloe</t>
  </si>
  <si>
    <t>Adriano Rodrigues Peres</t>
  </si>
  <si>
    <t>Engenheiro de Dados Especialista I</t>
  </si>
  <si>
    <t>Cleiton Antonio Aizza Junior</t>
  </si>
  <si>
    <t>Engenheiro de Dados Sênior</t>
  </si>
  <si>
    <t>Felix Pontes</t>
  </si>
  <si>
    <t xml:space="preserve">Analista Funcional </t>
  </si>
  <si>
    <t>Julio Cesar Correa</t>
  </si>
  <si>
    <t xml:space="preserve">Engenheiro de Dados </t>
  </si>
  <si>
    <t>Roberta Aparecida Morais Battaglia</t>
  </si>
  <si>
    <t xml:space="preserve">Product Manager CRM </t>
  </si>
  <si>
    <t>Robson dos Santos Pereira</t>
  </si>
  <si>
    <t>Engenheiro de Dados Pleno</t>
  </si>
  <si>
    <t>Vitor Esteves da Costa</t>
  </si>
  <si>
    <t xml:space="preserve">Analista FinOps </t>
  </si>
  <si>
    <t>Claudio Bianchini</t>
  </si>
  <si>
    <t>Cassio Enrico Campos</t>
  </si>
  <si>
    <t>Analista de Negócio - Part Time</t>
  </si>
  <si>
    <t>Gabriel Gomes David</t>
  </si>
  <si>
    <t>Engenheiro de Dados</t>
  </si>
  <si>
    <t>Esdras Fernandes Fermon</t>
  </si>
  <si>
    <t xml:space="preserve">Engenherio de Dados </t>
  </si>
  <si>
    <t>Especialista I</t>
  </si>
  <si>
    <t>Fabiano Fernandes da Silva</t>
  </si>
  <si>
    <t xml:space="preserve">Arquiteto DevOps Infra Cloud </t>
  </si>
  <si>
    <t>Cristiane Kelly Matsubara</t>
  </si>
  <si>
    <t>GILBERTO VECCHI</t>
  </si>
  <si>
    <t>VICTOR LEAL MARTINS</t>
  </si>
  <si>
    <t>DEBORA CORREIA CAMPOS</t>
  </si>
  <si>
    <t>FERNANDO TAAKASI</t>
  </si>
  <si>
    <t xml:space="preserve">ARQUITETO DE SOLUÇÕES </t>
  </si>
  <si>
    <t>LUCAS PACHECO PETRIN</t>
  </si>
  <si>
    <t xml:space="preserve">PRODUCT MANAGER CRM </t>
  </si>
  <si>
    <t>FERNANDO COSME DE MATTOS RAFAEL</t>
  </si>
  <si>
    <t>LEANDRO DE SOUZA AGUIAR </t>
  </si>
  <si>
    <t>SRE - RELIABILITY ENGINEERING ESPECIALISTA</t>
  </si>
  <si>
    <t>MATEUS HENRIQUE TOSATTI MARTINS</t>
  </si>
  <si>
    <t xml:space="preserve">AGILE MASTER </t>
  </si>
  <si>
    <t>JESSICA SANTANA DE OLIVEIRA</t>
  </si>
  <si>
    <t>CLT</t>
  </si>
  <si>
    <t>EVANDRO DA SILVA TORRES</t>
  </si>
  <si>
    <t>SCRUM MASTER</t>
  </si>
  <si>
    <t>JOSE LUIS LIMA DE JESUS SILVA</t>
  </si>
  <si>
    <t>ESPECIALISTAI</t>
  </si>
  <si>
    <t>THIAGO SALDANHA CABRAL</t>
  </si>
  <si>
    <t xml:space="preserve">Desenvolvedor Front End Javascript </t>
  </si>
  <si>
    <t>RODRIGO CLAUDINO CAMPOS</t>
  </si>
  <si>
    <t>JOSE ADELMAR DE SOUZA JUNIOR</t>
  </si>
  <si>
    <t>MARIANA CAPANEMA ILAMAS FERNANDEZ</t>
  </si>
  <si>
    <t xml:space="preserve">PRODUCT OWNER </t>
  </si>
  <si>
    <t xml:space="preserve">     Pede Pronto</t>
  </si>
  <si>
    <t>Alejandro Herrera</t>
  </si>
  <si>
    <t>Desenvolvedor Full Stack Sênior</t>
  </si>
  <si>
    <t>André Martins Victorino</t>
  </si>
  <si>
    <t>Cientista de Dados Sênior</t>
  </si>
  <si>
    <t>Carlos Roberto Martins Castro</t>
  </si>
  <si>
    <t>Ednardo Rubens Matos Ignacio</t>
  </si>
  <si>
    <t xml:space="preserve">Desenvolvedor Back End </t>
  </si>
  <si>
    <t>Euler Santana</t>
  </si>
  <si>
    <t>Arquiteto Corporativo</t>
  </si>
  <si>
    <t>Etiene Matuoca</t>
  </si>
  <si>
    <t xml:space="preserve">Desenvolvedor Full Stack </t>
  </si>
  <si>
    <t>Kredley Neri Magalhães</t>
  </si>
  <si>
    <t xml:space="preserve">Luiz Paulo Rodrigues dos Santos </t>
  </si>
  <si>
    <t> Desenvolvedor Full Stack Sênior </t>
  </si>
  <si>
    <t>Mikael Silva Lemos</t>
  </si>
  <si>
    <t>Morgana Staskoviak da Costa</t>
  </si>
  <si>
    <t xml:space="preserve"> Analista de Négocios Especialista </t>
  </si>
  <si>
    <t>Patrick Anderson Lima Batista</t>
  </si>
  <si>
    <t>Desenvolvedor Front End Pleno</t>
  </si>
  <si>
    <t>João Krauchenco</t>
  </si>
  <si>
    <t>Gerente de Agilidade e Engenharia</t>
  </si>
  <si>
    <t>João Victor Pacheco Ferreira Silva</t>
  </si>
  <si>
    <t>Mateus Henrique Tosatti Martins</t>
  </si>
  <si>
    <t xml:space="preserve">Agile Master </t>
  </si>
  <si>
    <t>Douglas Sousa Santos</t>
  </si>
  <si>
    <t>Ativo</t>
  </si>
  <si>
    <t>Daniella Capella Santiago</t>
  </si>
  <si>
    <t>Eduardo Maciel Moraes Viana Dória</t>
  </si>
  <si>
    <t>Fábio Gaspari Madureira Moutinho Barreto</t>
  </si>
  <si>
    <t xml:space="preserve">Desenvolvedor Backend </t>
  </si>
  <si>
    <t>Leonardo Santos da Silva</t>
  </si>
  <si>
    <t xml:space="preserve">Desenvolvedor Front End </t>
  </si>
  <si>
    <t>Marden Cavalcante Ferreira</t>
  </si>
  <si>
    <t xml:space="preserve">Desenvolvedor Flutter </t>
  </si>
  <si>
    <t>Leonardo dos Anjos Santos</t>
  </si>
  <si>
    <t>Lidiane Morais de Oliveira</t>
  </si>
  <si>
    <t>Sidney Hidekazu Miyagui</t>
  </si>
  <si>
    <t>LAUDIFER SFREDDO DE CASTRO</t>
  </si>
  <si>
    <t xml:space="preserve">     Cartão Elo</t>
  </si>
  <si>
    <t>Verônica Mendes Lopes</t>
  </si>
  <si>
    <t>DOUGLAS DO NASCIMENTO</t>
  </si>
  <si>
    <t>ANALISTA DE SUPORTE N2</t>
  </si>
  <si>
    <t xml:space="preserve">    IDEA MAKER</t>
  </si>
  <si>
    <t>LIGIA ALVES DA SILVA</t>
  </si>
  <si>
    <t>Product Owne</t>
  </si>
  <si>
    <t>HENRIQUE PIRES ESPINDOLA</t>
  </si>
  <si>
    <t>Nome</t>
  </si>
  <si>
    <t>Empresa</t>
  </si>
  <si>
    <t>Modelo Máquina</t>
  </si>
  <si>
    <t>Tipo de máquina</t>
  </si>
  <si>
    <t>Pacote office</t>
  </si>
  <si>
    <t>Software espec</t>
  </si>
  <si>
    <t>Adilson Cunha</t>
  </si>
  <si>
    <t>Livelo</t>
  </si>
  <si>
    <t>HP ProBook 440 G7 (Windows)</t>
  </si>
  <si>
    <t>Taking</t>
  </si>
  <si>
    <t>Sim</t>
  </si>
  <si>
    <t>HP HP ProBook 440 G7
 Intel(R) Core(TM) i7-10510U CPU @ 1.80GHz 2,30GHz, Cache de nível 2 de 1024KB
 S71 Ver. 01.24.00 HPQOEM - 0
 16.384 MB RAM
 KINGSTON SA400S37480G 447,13GB IDE
 SSSTC CL1-8D256-HP 238,47GB SCSI</t>
  </si>
  <si>
    <t>Cícero Alves Duarte Filho</t>
  </si>
  <si>
    <t>sim</t>
  </si>
  <si>
    <t>Daniel dos Santos Silva</t>
  </si>
  <si>
    <t>Mac</t>
  </si>
  <si>
    <t>Apple Mac15,6
 N/S KG7Y6FMYQ0
 Apple M3 Pro Cache de nível 2 de 4096KB
 Apple M3 Pro Cache de nível 2 de 4096KB
 Apple M3 Pro Cache de nível 2 de 4096KB
 Apple M3 Pro Cache de nível 2 de 4096KB
 Apple M3 Pro Cache de nível 2 de 4096KB
 Apple M3 Pro Cache de nível 2 de 4096KB
 Apple M3 Pro Cache de nível 2 de 4096KB
 Apple M3 Pro Cache de nível 2 de 4096KB
 Apple M3 Pro Cache de nível 2 de 4096KB
 Apple M3 Pro Cache de nível 2 de 4096KB
 Apple M3 Pro Cache de nível 2 de 4096KB
 Boot ROM 10151.140.19
 SMC
 18.432 MB RAM
 APPLE SSD AP0512Z 465,92GB Apple Fabric
 APPLE SSD AP0512Z 0,49GB Apple Fabric
 APPLE SSD AP0512Z 5,00GB Apple Fabric
 APPLE SSD AP0512Z 460,43GB Apple Fabric</t>
  </si>
  <si>
    <t>Diego Costa Santos</t>
  </si>
  <si>
    <t>N/a</t>
  </si>
  <si>
    <t xml:space="preserve">
</t>
  </si>
  <si>
    <t>Eduardo Ribeiro De Andrade Junior</t>
  </si>
  <si>
    <t>n/a</t>
  </si>
  <si>
    <t>não</t>
  </si>
  <si>
    <t>Fabricio Bernardo de oliveira</t>
  </si>
  <si>
    <t>Pessoal</t>
  </si>
  <si>
    <t>Flavio Ruanito Rodrigues Coelho</t>
  </si>
  <si>
    <t>Gustavo Oliveira Araujo</t>
  </si>
  <si>
    <t>Igor José de Oliveira</t>
  </si>
  <si>
    <t>Kauana Andrade Lima</t>
  </si>
  <si>
    <t>Klelvis Carlos de Andrade</t>
  </si>
  <si>
    <t>Paulo Roberto Borges da Silva</t>
  </si>
  <si>
    <t>Sandro Bento Pecinatti</t>
  </si>
  <si>
    <t>Victor Rodrigues Gomes</t>
  </si>
  <si>
    <t>Dell Latitude 3420</t>
  </si>
  <si>
    <t>Vitor de Matos Moreira</t>
  </si>
  <si>
    <t>ALELO</t>
  </si>
  <si>
    <t>Dell</t>
  </si>
  <si>
    <t>LIVELO</t>
  </si>
  <si>
    <t>ALLAN ALEXANDRE DAMASCENO DE OLIVEIRA</t>
  </si>
  <si>
    <t>HP</t>
  </si>
  <si>
    <t>VELOE</t>
  </si>
  <si>
    <t>LEANDRO DE SOUZA AGUIAR</t>
  </si>
  <si>
    <t>CARTÃO ELO</t>
  </si>
  <si>
    <t>PEDE PRONTO</t>
  </si>
  <si>
    <t>RODRIGO VIANA</t>
  </si>
  <si>
    <t>RENE SEBBATINI DE ALMEIDA</t>
  </si>
  <si>
    <t>Área/Cliente</t>
  </si>
  <si>
    <t>Liderança</t>
  </si>
  <si>
    <t>Taker</t>
  </si>
  <si>
    <t>Admissão</t>
  </si>
  <si>
    <t>Período Aquisitivo Início</t>
  </si>
  <si>
    <t>Período Aquisitivo Fim</t>
  </si>
  <si>
    <t>Período Concessivo Início</t>
  </si>
  <si>
    <t>Período Concessivo Fim</t>
  </si>
  <si>
    <t>Hoje</t>
  </si>
  <si>
    <t>Hoje menos início do período aquisitivo</t>
  </si>
  <si>
    <t>Saldo de dias para gozo de férias</t>
  </si>
  <si>
    <t>INICIO</t>
  </si>
  <si>
    <t>TERMINO</t>
  </si>
  <si>
    <t>ABONO</t>
  </si>
  <si>
    <t>QUANTIDADE DE DIAS</t>
  </si>
  <si>
    <t>DEISE CORDEIRO</t>
  </si>
  <si>
    <t>GIULLIA D FRANCO LOPES MEZZANOTTI</t>
  </si>
  <si>
    <t>10 de abono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</si>
</sst>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R$&quot;\ #,##0.00;[Red]\-&quot;R$&quot;\ #,##0.00"/>
    <numFmt numFmtId="44" formatCode="_-&quot;R$&quot;\ * #,##0.00_-;\-&quot;R$&quot;\ * #,##0.00_-;_-&quot;R$&quot;\ * &quot;-&quot;??_-;_-@_-"/>
    <numFmt numFmtId="164" formatCode="d&quot;/&quot;m&quot;/&quot;yy"/>
    <numFmt numFmtId="165" formatCode="&quot;R$&quot;\ #,##0.00"/>
    <numFmt numFmtId="166" formatCode="_-&quot;R$&quot;\ * #,##0.00_-;\-&quot;R$&quot;\ * #,##0.00_-;_-&quot;R$&quot;\ * &quot;-&quot;??_-;_-@"/>
    <numFmt numFmtId="167" formatCode="_-[$R$-416]\ * #,##0.00_-;\-[$R$-416]\ * #,##0.00_-;_-[$R$-416]\ * &quot;-&quot;??_-;_-@_-"/>
  </numFmts>
  <fonts count="46">
    <font>
      <sz val="11"/>
      <color theme="1"/>
      <name val="Aptos Narrow"/>
      <family val="2"/>
      <scheme val="minor"/>
    </font>
    <font>
      <sz val="11"/>
      <color theme="1"/>
      <name val="Aptos Narrow"/>
      <family val="2"/>
      <scheme val="minor"/>
    </font>
    <font>
      <b/>
      <sz val="11"/>
      <color theme="1"/>
      <name val="Aptos Narrow"/>
      <family val="2"/>
      <scheme val="minor"/>
    </font>
    <font>
      <b/>
      <sz val="10"/>
      <color theme="0"/>
      <name val="Aptos Narrow"/>
      <family val="2"/>
      <scheme val="minor"/>
    </font>
    <font>
      <sz val="10"/>
      <color theme="1"/>
      <name val="Aptos Narrow"/>
      <family val="2"/>
      <scheme val="minor"/>
    </font>
    <font>
      <sz val="10"/>
      <color rgb="FF000000"/>
      <name val="Aptos Narrow"/>
      <family val="2"/>
      <scheme val="minor"/>
    </font>
    <font>
      <sz val="10"/>
      <color rgb="FFFF0000"/>
      <name val="Aptos Narrow"/>
      <family val="2"/>
      <scheme val="minor"/>
    </font>
    <font>
      <b/>
      <sz val="10"/>
      <color rgb="FFFF0000"/>
      <name val="Aptos Narrow"/>
      <family val="2"/>
      <scheme val="minor"/>
    </font>
    <font>
      <sz val="10"/>
      <name val="Aptos Narrow"/>
      <family val="2"/>
      <scheme val="minor"/>
    </font>
    <font>
      <i/>
      <sz val="10"/>
      <color theme="1"/>
      <name val="Aptos Narrow"/>
      <family val="2"/>
      <scheme val="minor"/>
    </font>
    <font>
      <sz val="10"/>
      <color indexed="8"/>
      <name val="Aptos Narrow"/>
      <family val="2"/>
      <scheme val="minor"/>
    </font>
    <font>
      <sz val="10"/>
      <color rgb="FF000000"/>
      <name val="Arial"/>
      <family val="2"/>
    </font>
    <font>
      <b/>
      <sz val="10"/>
      <color rgb="FF000000"/>
      <name val="Arial"/>
      <family val="2"/>
    </font>
    <font>
      <sz val="10"/>
      <color theme="1"/>
      <name val="Arial"/>
      <family val="2"/>
    </font>
    <font>
      <b/>
      <u/>
      <sz val="10"/>
      <name val="Arial"/>
      <family val="2"/>
    </font>
    <font>
      <b/>
      <u/>
      <sz val="10"/>
      <color rgb="FF000000"/>
      <name val="Arial"/>
      <family val="2"/>
    </font>
    <font>
      <u/>
      <sz val="10"/>
      <color rgb="FF000000"/>
      <name val="Arial"/>
      <family val="2"/>
    </font>
    <font>
      <sz val="10"/>
      <color rgb="FFFF0000"/>
      <name val="Arial"/>
      <family val="2"/>
    </font>
    <font>
      <b/>
      <sz val="10"/>
      <name val="Arial"/>
      <family val="2"/>
    </font>
    <font>
      <sz val="10"/>
      <name val="Arial"/>
      <family val="2"/>
    </font>
    <font>
      <sz val="11"/>
      <color rgb="FF000000"/>
      <name val="Calibri"/>
      <family val="2"/>
    </font>
    <font>
      <sz val="11"/>
      <color rgb="FF000000"/>
      <name val="Aptos Narrow"/>
      <family val="2"/>
    </font>
    <font>
      <b/>
      <sz val="10"/>
      <color rgb="FFFF0000"/>
      <name val="Arial"/>
      <family val="2"/>
    </font>
    <font>
      <b/>
      <sz val="13"/>
      <color theme="1"/>
      <name val="Aptos Narrow"/>
      <family val="2"/>
      <scheme val="minor"/>
    </font>
    <font>
      <u/>
      <sz val="11"/>
      <color theme="10"/>
      <name val="Aptos Narrow"/>
      <family val="2"/>
      <scheme val="minor"/>
    </font>
    <font>
      <sz val="11"/>
      <color rgb="FF000000"/>
      <name val="Aptos Narrow"/>
      <family val="2"/>
      <scheme val="minor"/>
    </font>
    <font>
      <u/>
      <sz val="11"/>
      <color rgb="FF000000"/>
      <name val="Aptos Narrow"/>
      <family val="2"/>
      <scheme val="minor"/>
    </font>
    <font>
      <sz val="10"/>
      <color rgb="FF000000"/>
      <name val="Calibri"/>
      <family val="2"/>
    </font>
    <font>
      <b/>
      <sz val="13"/>
      <color rgb="FF000000"/>
      <name val="Arial"/>
      <family val="2"/>
    </font>
    <font>
      <sz val="10"/>
      <color rgb="FFFFFFFF"/>
      <name val="Calibri"/>
      <family val="2"/>
    </font>
    <font>
      <sz val="10"/>
      <name val="Calibri"/>
      <family val="2"/>
    </font>
    <font>
      <sz val="10"/>
      <color rgb="FF006100"/>
      <name val="Calibri"/>
      <family val="2"/>
    </font>
    <font>
      <sz val="9"/>
      <color rgb="FF000000"/>
      <name val="Arial"/>
      <family val="2"/>
    </font>
    <font>
      <sz val="9"/>
      <color theme="1"/>
      <name val="Arial"/>
      <family val="2"/>
    </font>
    <font>
      <sz val="9"/>
      <name val="Arial"/>
      <family val="2"/>
    </font>
    <font>
      <sz val="8"/>
      <name val="Aptos Narrow"/>
      <family val="2"/>
      <scheme val="minor"/>
    </font>
    <font>
      <b/>
      <sz val="13"/>
      <color rgb="FF000000"/>
      <name val="Aptos Narrow"/>
      <family val="2"/>
    </font>
    <font>
      <b/>
      <sz val="10"/>
      <color rgb="FFFFFFFF"/>
      <name val="Aptos Narrow"/>
      <family val="2"/>
    </font>
    <font>
      <sz val="10"/>
      <color rgb="FF000000"/>
      <name val="Aptos Narrow"/>
      <family val="2"/>
    </font>
    <font>
      <sz val="10"/>
      <color rgb="FFFF0000"/>
      <name val="Aptos Narrow"/>
      <family val="2"/>
    </font>
    <font>
      <sz val="10"/>
      <name val="Aptos Narrow"/>
      <family val="2"/>
    </font>
    <font>
      <sz val="10"/>
      <color rgb="FF1A2130"/>
      <name val="Aptos Narrow"/>
      <family val="2"/>
    </font>
    <font>
      <u/>
      <sz val="10"/>
      <color theme="10"/>
      <name val="Aptos Narrow"/>
      <family val="2"/>
      <scheme val="minor"/>
    </font>
    <font>
      <u/>
      <sz val="10"/>
      <color rgb="FF000000"/>
      <name val="Aptos Narrow"/>
      <family val="2"/>
      <scheme val="minor"/>
    </font>
    <font>
      <b/>
      <sz val="10"/>
      <color rgb="FF000000"/>
      <name val="Aptos Narrow"/>
      <family val="2"/>
      <scheme val="minor"/>
    </font>
    <font>
      <b/>
      <sz val="10"/>
      <color rgb="FF000000"/>
      <name val="Arial"/>
      <family val="2"/>
    </font>
  </fonts>
  <fills count="21">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002060"/>
        <bgColor indexed="64"/>
      </patternFill>
    </fill>
    <fill>
      <patternFill patternType="solid">
        <fgColor theme="0"/>
        <bgColor rgb="FF000000"/>
      </patternFill>
    </fill>
    <fill>
      <patternFill patternType="solid">
        <fgColor theme="2" tint="-9.9978637043366805E-2"/>
        <bgColor rgb="FF000000"/>
      </patternFill>
    </fill>
    <fill>
      <patternFill patternType="solid">
        <fgColor rgb="FFA6A6A6"/>
        <bgColor rgb="FF000000"/>
      </patternFill>
    </fill>
    <fill>
      <patternFill patternType="solid">
        <fgColor rgb="FFFFFFFF"/>
        <bgColor rgb="FF000000"/>
      </patternFill>
    </fill>
    <fill>
      <patternFill patternType="solid">
        <fgColor indexed="9"/>
        <bgColor indexed="64"/>
      </patternFill>
    </fill>
    <fill>
      <patternFill patternType="solid">
        <fgColor rgb="FF222C3F"/>
        <bgColor rgb="FF000000"/>
      </patternFill>
    </fill>
    <fill>
      <patternFill patternType="solid">
        <fgColor rgb="FF222C3F"/>
        <bgColor rgb="FF00008B"/>
      </patternFill>
    </fill>
    <fill>
      <patternFill patternType="solid">
        <fgColor rgb="FFF07E19"/>
        <bgColor rgb="FF00008B"/>
      </patternFill>
    </fill>
    <fill>
      <patternFill patternType="solid">
        <fgColor rgb="FFC6EFCE"/>
        <bgColor rgb="FF000000"/>
      </patternFill>
    </fill>
    <fill>
      <patternFill patternType="solid">
        <fgColor rgb="FFD0D0D0"/>
        <bgColor rgb="FF000000"/>
      </patternFill>
    </fill>
    <fill>
      <patternFill patternType="solid">
        <fgColor rgb="FF002060"/>
        <bgColor rgb="FF000000"/>
      </patternFill>
    </fill>
    <fill>
      <patternFill patternType="solid">
        <fgColor rgb="FFC0E6F5"/>
        <bgColor rgb="FFC0E6F5"/>
      </patternFill>
    </fill>
    <fill>
      <patternFill patternType="solid">
        <fgColor theme="0" tint="-0.14999847407452621"/>
        <bgColor indexed="64"/>
      </patternFill>
    </fill>
    <fill>
      <patternFill patternType="solid">
        <fgColor rgb="FFFFFF00"/>
        <bgColor indexed="64"/>
      </patternFill>
    </fill>
    <fill>
      <patternFill patternType="solid">
        <fgColor theme="3" tint="0.89999084444715716"/>
        <bgColor rgb="FF000000"/>
      </patternFill>
    </fill>
    <fill>
      <patternFill patternType="solid">
        <fgColor theme="3" tint="0.89999084444715716"/>
        <bgColor indexed="64"/>
      </patternFill>
    </fill>
  </fills>
  <borders count="3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indexed="64"/>
      </left>
      <right/>
      <top/>
      <bottom/>
      <diagonal/>
    </border>
    <border>
      <left/>
      <right style="thin">
        <color indexed="64"/>
      </right>
      <top style="thin">
        <color indexed="64"/>
      </top>
      <bottom/>
      <diagonal/>
    </border>
    <border>
      <left/>
      <right/>
      <top/>
      <bottom style="thin">
        <color indexed="64"/>
      </bottom>
      <diagonal/>
    </border>
    <border>
      <left/>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style="thin">
        <color rgb="FF44B3E1"/>
      </bottom>
      <diagonal/>
    </border>
    <border>
      <left style="thin">
        <color rgb="FF000000"/>
      </left>
      <right style="thin">
        <color rgb="FF000000"/>
      </right>
      <top/>
      <bottom style="thin">
        <color rgb="FF000000"/>
      </bottom>
      <diagonal/>
    </border>
    <border>
      <left style="thin">
        <color indexed="64"/>
      </left>
      <right style="thin">
        <color indexed="64"/>
      </right>
      <top/>
      <bottom style="thin">
        <color rgb="FF44B3E1"/>
      </bottom>
      <diagonal/>
    </border>
    <border>
      <left/>
      <right style="thin">
        <color indexed="64"/>
      </right>
      <top/>
      <bottom style="thin">
        <color rgb="FF44B3E1"/>
      </bottom>
      <diagonal/>
    </border>
    <border>
      <left/>
      <right style="thin">
        <color indexed="64"/>
      </right>
      <top style="thin">
        <color indexed="64"/>
      </top>
      <bottom style="thin">
        <color rgb="FF44B3E1"/>
      </bottom>
      <diagonal/>
    </border>
    <border>
      <left/>
      <right style="thin">
        <color indexed="64"/>
      </right>
      <top style="thin">
        <color rgb="FF44B3E1"/>
      </top>
      <bottom style="thin">
        <color indexed="64"/>
      </bottom>
      <diagonal/>
    </border>
    <border>
      <left/>
      <right style="thin">
        <color indexed="64"/>
      </right>
      <top style="thin">
        <color rgb="FF44B3E1"/>
      </top>
      <bottom style="thin">
        <color rgb="FF44B3E1"/>
      </bottom>
      <diagonal/>
    </border>
    <border>
      <left style="dashed">
        <color auto="1"/>
      </left>
      <right style="dashed">
        <color auto="1"/>
      </right>
      <top/>
      <bottom style="dashed">
        <color auto="1"/>
      </bottom>
      <diagonal/>
    </border>
    <border>
      <left/>
      <right/>
      <top style="thin">
        <color indexed="64"/>
      </top>
      <bottom/>
      <diagonal/>
    </border>
  </borders>
  <cellStyleXfs count="6">
    <xf numFmtId="0" fontId="0" fillId="0" borderId="0"/>
    <xf numFmtId="44" fontId="1" fillId="0" borderId="0" applyFont="0" applyFill="0" applyBorder="0" applyAlignment="0" applyProtection="0"/>
    <xf numFmtId="0" fontId="20" fillId="0" borderId="0"/>
    <xf numFmtId="0" fontId="24" fillId="0" borderId="0" applyNumberFormat="0" applyFill="0" applyBorder="0" applyAlignment="0" applyProtection="0"/>
    <xf numFmtId="44" fontId="1" fillId="0" borderId="0" applyFont="0" applyFill="0" applyBorder="0" applyAlignment="0" applyProtection="0"/>
    <xf numFmtId="0" fontId="24" fillId="0" borderId="0" applyNumberFormat="0" applyFill="0" applyBorder="0" applyAlignment="0" applyProtection="0"/>
  </cellStyleXfs>
  <cellXfs count="356">
    <xf numFmtId="0" fontId="0" fillId="0" borderId="0" xfId="0"/>
    <xf numFmtId="0" fontId="0" fillId="2" borderId="0" xfId="0" applyFill="1"/>
    <xf numFmtId="0" fontId="2" fillId="0" borderId="0" xfId="0" applyFont="1"/>
    <xf numFmtId="0" fontId="0" fillId="3" borderId="0" xfId="0" applyFill="1"/>
    <xf numFmtId="0" fontId="0" fillId="3" borderId="0" xfId="0" applyFill="1" applyAlignment="1">
      <alignment vertical="top"/>
    </xf>
    <xf numFmtId="0" fontId="3" fillId="4" borderId="7" xfId="0" applyFont="1" applyFill="1" applyBorder="1" applyAlignment="1">
      <alignment horizontal="center"/>
    </xf>
    <xf numFmtId="0" fontId="3" fillId="4" borderId="8" xfId="0" applyFont="1" applyFill="1" applyBorder="1" applyAlignment="1">
      <alignment horizontal="center"/>
    </xf>
    <xf numFmtId="0" fontId="3" fillId="4" borderId="6" xfId="0" applyFont="1" applyFill="1" applyBorder="1" applyAlignment="1">
      <alignment horizontal="center"/>
    </xf>
    <xf numFmtId="164" fontId="3" fillId="4" borderId="6" xfId="0" applyNumberFormat="1" applyFont="1" applyFill="1" applyBorder="1" applyAlignment="1">
      <alignment horizontal="center"/>
    </xf>
    <xf numFmtId="44" fontId="3" fillId="4" borderId="6" xfId="1" applyFont="1" applyFill="1" applyBorder="1" applyAlignment="1">
      <alignment horizontal="center"/>
    </xf>
    <xf numFmtId="0" fontId="3" fillId="4" borderId="9" xfId="0" applyFont="1" applyFill="1" applyBorder="1" applyAlignment="1">
      <alignment horizont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4" fontId="5" fillId="3" borderId="2" xfId="0" applyNumberFormat="1" applyFont="1" applyFill="1" applyBorder="1" applyAlignment="1">
      <alignment horizontal="center"/>
    </xf>
    <xf numFmtId="14" fontId="6" fillId="3" borderId="2" xfId="0" applyNumberFormat="1" applyFont="1" applyFill="1" applyBorder="1" applyAlignment="1">
      <alignment horizontal="center" vertical="center" wrapText="1"/>
    </xf>
    <xf numFmtId="14" fontId="4" fillId="3" borderId="2" xfId="0" applyNumberFormat="1" applyFont="1" applyFill="1" applyBorder="1" applyAlignment="1">
      <alignment horizontal="center"/>
    </xf>
    <xf numFmtId="0" fontId="4" fillId="3" borderId="2" xfId="0" applyFont="1" applyFill="1" applyBorder="1" applyAlignment="1">
      <alignment horizontal="center"/>
    </xf>
    <xf numFmtId="44" fontId="4" fillId="2" borderId="2" xfId="1" applyFont="1" applyFill="1" applyBorder="1" applyAlignment="1">
      <alignment horizontal="right" vertical="center" wrapText="1"/>
    </xf>
    <xf numFmtId="0" fontId="4" fillId="2" borderId="2" xfId="0" applyFont="1" applyFill="1" applyBorder="1" applyAlignment="1">
      <alignment horizontal="center"/>
    </xf>
    <xf numFmtId="14" fontId="6" fillId="3" borderId="2" xfId="0" applyNumberFormat="1" applyFont="1" applyFill="1" applyBorder="1" applyAlignment="1">
      <alignment horizontal="center"/>
    </xf>
    <xf numFmtId="14" fontId="6" fillId="3" borderId="2" xfId="0" quotePrefix="1" applyNumberFormat="1" applyFont="1" applyFill="1" applyBorder="1" applyAlignment="1">
      <alignment horizontal="center"/>
    </xf>
    <xf numFmtId="0" fontId="5" fillId="3" borderId="1" xfId="0" applyFont="1" applyFill="1" applyBorder="1" applyAlignment="1">
      <alignment horizontal="left"/>
    </xf>
    <xf numFmtId="0" fontId="5" fillId="3" borderId="2" xfId="0" applyFont="1" applyFill="1" applyBorder="1" applyAlignment="1">
      <alignment horizontal="left"/>
    </xf>
    <xf numFmtId="0" fontId="5" fillId="5" borderId="2" xfId="0" applyFont="1" applyFill="1" applyBorder="1" applyAlignment="1">
      <alignment horizontal="left"/>
    </xf>
    <xf numFmtId="14" fontId="5" fillId="5" borderId="2" xfId="0" applyNumberFormat="1" applyFont="1" applyFill="1" applyBorder="1" applyAlignment="1">
      <alignment horizontal="left"/>
    </xf>
    <xf numFmtId="44" fontId="5" fillId="5" borderId="2" xfId="0" applyNumberFormat="1" applyFont="1" applyFill="1" applyBorder="1" applyAlignment="1">
      <alignment horizontal="left"/>
    </xf>
    <xf numFmtId="44" fontId="8" fillId="5" borderId="2" xfId="0" applyNumberFormat="1" applyFont="1" applyFill="1" applyBorder="1" applyAlignment="1">
      <alignment horizontal="left"/>
    </xf>
    <xf numFmtId="44" fontId="5" fillId="6" borderId="2" xfId="0" applyNumberFormat="1" applyFont="1" applyFill="1" applyBorder="1" applyAlignment="1">
      <alignment horizontal="left" wrapText="1"/>
    </xf>
    <xf numFmtId="0" fontId="5" fillId="6" borderId="2" xfId="0" applyFont="1" applyFill="1" applyBorder="1" applyAlignment="1">
      <alignment horizontal="left"/>
    </xf>
    <xf numFmtId="44" fontId="5" fillId="6" borderId="2" xfId="0" applyNumberFormat="1" applyFont="1" applyFill="1" applyBorder="1" applyAlignment="1">
      <alignment horizontal="left"/>
    </xf>
    <xf numFmtId="0" fontId="5" fillId="3" borderId="3" xfId="0" applyFont="1" applyFill="1" applyBorder="1" applyAlignment="1">
      <alignment horizontal="left"/>
    </xf>
    <xf numFmtId="0" fontId="6" fillId="5" borderId="2" xfId="0" applyFont="1" applyFill="1" applyBorder="1" applyAlignment="1">
      <alignment horizontal="left"/>
    </xf>
    <xf numFmtId="14" fontId="5" fillId="5" borderId="0" xfId="0" applyNumberFormat="1" applyFont="1" applyFill="1" applyAlignment="1">
      <alignment horizontal="left"/>
    </xf>
    <xf numFmtId="0" fontId="7" fillId="5" borderId="2" xfId="0" applyFont="1" applyFill="1" applyBorder="1" applyAlignment="1">
      <alignment horizontal="left"/>
    </xf>
    <xf numFmtId="0" fontId="5" fillId="5" borderId="3" xfId="0" applyFont="1" applyFill="1" applyBorder="1" applyAlignment="1">
      <alignment horizontal="left"/>
    </xf>
    <xf numFmtId="0" fontId="5" fillId="5" borderId="4" xfId="0" applyFont="1" applyFill="1" applyBorder="1" applyAlignment="1">
      <alignment horizontal="left"/>
    </xf>
    <xf numFmtId="166" fontId="8" fillId="3" borderId="2" xfId="0" applyNumberFormat="1" applyFont="1" applyFill="1" applyBorder="1" applyAlignment="1">
      <alignment horizontal="center" vertical="center"/>
    </xf>
    <xf numFmtId="0" fontId="5" fillId="8" borderId="2" xfId="0" applyFont="1" applyFill="1" applyBorder="1" applyAlignment="1">
      <alignment horizontal="left"/>
    </xf>
    <xf numFmtId="14" fontId="5" fillId="8" borderId="2" xfId="0" applyNumberFormat="1" applyFont="1" applyFill="1" applyBorder="1" applyAlignment="1">
      <alignment horizontal="left"/>
    </xf>
    <xf numFmtId="0" fontId="7" fillId="8" borderId="2" xfId="0" applyFont="1" applyFill="1" applyBorder="1" applyAlignment="1">
      <alignment horizontal="left"/>
    </xf>
    <xf numFmtId="8" fontId="5" fillId="8" borderId="2" xfId="0" applyNumberFormat="1" applyFont="1" applyFill="1" applyBorder="1" applyAlignment="1">
      <alignment horizontal="left"/>
    </xf>
    <xf numFmtId="8" fontId="8" fillId="8" borderId="2" xfId="0" applyNumberFormat="1" applyFont="1" applyFill="1" applyBorder="1" applyAlignment="1">
      <alignment horizontal="left" vertical="center"/>
    </xf>
    <xf numFmtId="8" fontId="5" fillId="7" borderId="2" xfId="0" applyNumberFormat="1" applyFont="1" applyFill="1" applyBorder="1" applyAlignment="1">
      <alignment horizontal="left" vertical="center" wrapText="1"/>
    </xf>
    <xf numFmtId="0" fontId="5" fillId="7" borderId="2" xfId="0" applyFont="1" applyFill="1" applyBorder="1" applyAlignment="1">
      <alignment horizontal="left"/>
    </xf>
    <xf numFmtId="8" fontId="8" fillId="7" borderId="2" xfId="0" applyNumberFormat="1" applyFont="1" applyFill="1" applyBorder="1" applyAlignment="1">
      <alignment horizontal="left" vertical="center"/>
    </xf>
    <xf numFmtId="0" fontId="5" fillId="8" borderId="11" xfId="0" applyFont="1" applyFill="1" applyBorder="1" applyAlignment="1">
      <alignment horizontal="left" vertical="center"/>
    </xf>
    <xf numFmtId="8" fontId="5" fillId="8" borderId="4" xfId="0" applyNumberFormat="1" applyFont="1" applyFill="1" applyBorder="1" applyAlignment="1">
      <alignment horizontal="left"/>
    </xf>
    <xf numFmtId="0" fontId="8" fillId="8" borderId="2" xfId="0" applyFont="1" applyFill="1" applyBorder="1" applyAlignment="1">
      <alignment horizontal="left" vertical="center"/>
    </xf>
    <xf numFmtId="0" fontId="4" fillId="3" borderId="2" xfId="0" applyFont="1" applyFill="1" applyBorder="1" applyAlignment="1">
      <alignment horizontal="left"/>
    </xf>
    <xf numFmtId="0" fontId="5" fillId="3" borderId="2" xfId="0" applyFont="1" applyFill="1" applyBorder="1" applyAlignment="1">
      <alignment horizontal="left" vertical="center"/>
    </xf>
    <xf numFmtId="14" fontId="5" fillId="3" borderId="2" xfId="0" applyNumberFormat="1" applyFont="1" applyFill="1" applyBorder="1" applyAlignment="1">
      <alignment horizontal="left" vertical="center"/>
    </xf>
    <xf numFmtId="14" fontId="6" fillId="3" borderId="2" xfId="0" applyNumberFormat="1" applyFont="1" applyFill="1" applyBorder="1" applyAlignment="1">
      <alignment horizontal="left" vertical="center" wrapText="1"/>
    </xf>
    <xf numFmtId="44" fontId="8" fillId="3" borderId="2" xfId="0" applyNumberFormat="1" applyFont="1" applyFill="1" applyBorder="1" applyAlignment="1">
      <alignment horizontal="left" vertical="center"/>
    </xf>
    <xf numFmtId="44" fontId="4" fillId="3" borderId="2" xfId="1" applyFont="1" applyFill="1" applyBorder="1" applyAlignment="1">
      <alignment horizontal="left" vertical="center" wrapText="1"/>
    </xf>
    <xf numFmtId="14" fontId="4" fillId="3" borderId="2" xfId="0" applyNumberFormat="1" applyFont="1" applyFill="1" applyBorder="1" applyAlignment="1">
      <alignment horizontal="left" vertical="center" wrapText="1"/>
    </xf>
    <xf numFmtId="14" fontId="9" fillId="3" borderId="2" xfId="0" applyNumberFormat="1" applyFont="1" applyFill="1" applyBorder="1" applyAlignment="1">
      <alignment horizontal="left" vertical="center" wrapText="1"/>
    </xf>
    <xf numFmtId="0" fontId="4" fillId="3" borderId="2" xfId="0" applyFont="1" applyFill="1" applyBorder="1" applyAlignment="1">
      <alignment horizontal="left" vertical="top"/>
    </xf>
    <xf numFmtId="44" fontId="4" fillId="5" borderId="2" xfId="0" applyNumberFormat="1" applyFont="1" applyFill="1" applyBorder="1" applyAlignment="1">
      <alignment horizontal="left"/>
    </xf>
    <xf numFmtId="1" fontId="8" fillId="8" borderId="2" xfId="0" applyNumberFormat="1" applyFont="1" applyFill="1" applyBorder="1" applyAlignment="1">
      <alignment horizontal="center" vertical="center"/>
    </xf>
    <xf numFmtId="165" fontId="0" fillId="0" borderId="0" xfId="0" applyNumberFormat="1"/>
    <xf numFmtId="0" fontId="3" fillId="4" borderId="8" xfId="0" applyFont="1" applyFill="1" applyBorder="1" applyAlignment="1">
      <alignment horizontal="center" vertical="center"/>
    </xf>
    <xf numFmtId="44" fontId="8" fillId="3" borderId="2" xfId="1" applyFont="1" applyFill="1" applyBorder="1" applyAlignment="1">
      <alignment horizontal="left" vertical="center" wrapText="1"/>
    </xf>
    <xf numFmtId="0" fontId="14" fillId="3" borderId="2" xfId="0" applyFont="1" applyFill="1" applyBorder="1" applyAlignment="1">
      <alignment horizontal="center"/>
    </xf>
    <xf numFmtId="44" fontId="0" fillId="0" borderId="0" xfId="0" applyNumberFormat="1"/>
    <xf numFmtId="44" fontId="4" fillId="3" borderId="2" xfId="0" applyNumberFormat="1" applyFont="1" applyFill="1" applyBorder="1" applyAlignment="1">
      <alignment horizontal="left"/>
    </xf>
    <xf numFmtId="0" fontId="0" fillId="0" borderId="0" xfId="0" quotePrefix="1"/>
    <xf numFmtId="0" fontId="5" fillId="3" borderId="5" xfId="0" applyFont="1" applyFill="1" applyBorder="1" applyAlignment="1">
      <alignment horizontal="left"/>
    </xf>
    <xf numFmtId="0" fontId="23" fillId="0" borderId="0" xfId="0" applyFont="1"/>
    <xf numFmtId="0" fontId="5" fillId="3" borderId="15" xfId="0" applyFont="1" applyFill="1" applyBorder="1" applyAlignment="1">
      <alignment horizontal="left"/>
    </xf>
    <xf numFmtId="0" fontId="5" fillId="8" borderId="4" xfId="0" applyFont="1" applyFill="1" applyBorder="1" applyAlignment="1">
      <alignment horizontal="left"/>
    </xf>
    <xf numFmtId="0" fontId="5" fillId="8" borderId="16" xfId="0" applyFont="1" applyFill="1" applyBorder="1" applyAlignment="1">
      <alignment horizontal="left"/>
    </xf>
    <xf numFmtId="0" fontId="5" fillId="5" borderId="3" xfId="0" applyFont="1" applyFill="1" applyBorder="1" applyAlignment="1">
      <alignment horizontal="left" wrapText="1"/>
    </xf>
    <xf numFmtId="0" fontId="26" fillId="3" borderId="3" xfId="3" applyFont="1" applyFill="1" applyBorder="1"/>
    <xf numFmtId="0" fontId="27" fillId="3" borderId="3" xfId="0" applyFont="1" applyFill="1" applyBorder="1" applyAlignment="1">
      <alignment vertical="center"/>
    </xf>
    <xf numFmtId="0" fontId="25" fillId="2" borderId="0" xfId="0" applyFont="1" applyFill="1"/>
    <xf numFmtId="0" fontId="25" fillId="0" borderId="0" xfId="0" applyFont="1"/>
    <xf numFmtId="0" fontId="5" fillId="5" borderId="0" xfId="0" applyFont="1" applyFill="1" applyAlignment="1">
      <alignment horizontal="left"/>
    </xf>
    <xf numFmtId="44" fontId="4" fillId="5" borderId="0" xfId="0" applyNumberFormat="1" applyFont="1" applyFill="1" applyAlignment="1">
      <alignment horizontal="left"/>
    </xf>
    <xf numFmtId="44" fontId="8" fillId="5" borderId="0" xfId="0" applyNumberFormat="1" applyFont="1" applyFill="1" applyAlignment="1">
      <alignment horizontal="left"/>
    </xf>
    <xf numFmtId="44" fontId="5" fillId="6" borderId="0" xfId="0" applyNumberFormat="1" applyFont="1" applyFill="1" applyAlignment="1">
      <alignment horizontal="left" wrapText="1"/>
    </xf>
    <xf numFmtId="0" fontId="5" fillId="6" borderId="0" xfId="0" applyFont="1" applyFill="1" applyAlignment="1">
      <alignment horizontal="left"/>
    </xf>
    <xf numFmtId="44" fontId="5" fillId="6" borderId="0" xfId="0" applyNumberFormat="1" applyFont="1" applyFill="1" applyAlignment="1">
      <alignment horizontal="left"/>
    </xf>
    <xf numFmtId="0" fontId="30" fillId="0" borderId="2" xfId="0" applyFont="1" applyBorder="1"/>
    <xf numFmtId="0" fontId="30" fillId="0" borderId="4" xfId="0" applyFont="1" applyBorder="1"/>
    <xf numFmtId="0" fontId="31" fillId="13" borderId="2" xfId="0" applyFont="1" applyFill="1" applyBorder="1" applyAlignment="1">
      <alignment wrapText="1" readingOrder="1"/>
    </xf>
    <xf numFmtId="14" fontId="31" fillId="13" borderId="2" xfId="0" applyNumberFormat="1" applyFont="1" applyFill="1" applyBorder="1" applyAlignment="1">
      <alignment wrapText="1" readingOrder="1"/>
    </xf>
    <xf numFmtId="0" fontId="31" fillId="13" borderId="5" xfId="0" applyFont="1" applyFill="1" applyBorder="1" applyAlignment="1">
      <alignment wrapText="1" readingOrder="1"/>
    </xf>
    <xf numFmtId="14" fontId="30" fillId="0" borderId="2" xfId="0" applyNumberFormat="1" applyFont="1" applyBorder="1"/>
    <xf numFmtId="14" fontId="30" fillId="0" borderId="4" xfId="0" applyNumberFormat="1" applyFont="1" applyBorder="1"/>
    <xf numFmtId="0" fontId="21" fillId="0" borderId="4" xfId="0" applyFont="1" applyBorder="1"/>
    <xf numFmtId="0" fontId="30" fillId="0" borderId="6" xfId="0" applyFont="1" applyBorder="1"/>
    <xf numFmtId="0" fontId="30" fillId="0" borderId="21" xfId="0" applyFont="1" applyBorder="1"/>
    <xf numFmtId="14" fontId="30" fillId="0" borderId="6" xfId="0" applyNumberFormat="1" applyFont="1" applyBorder="1"/>
    <xf numFmtId="14" fontId="30" fillId="0" borderId="21" xfId="0" applyNumberFormat="1" applyFont="1" applyBorder="1"/>
    <xf numFmtId="0" fontId="21" fillId="0" borderId="21" xfId="0" applyFont="1" applyBorder="1"/>
    <xf numFmtId="0" fontId="29" fillId="10" borderId="0" xfId="0" applyFont="1" applyFill="1" applyAlignment="1">
      <alignment horizontal="center" wrapText="1"/>
    </xf>
    <xf numFmtId="0" fontId="29" fillId="11" borderId="10" xfId="0" applyFont="1" applyFill="1" applyBorder="1" applyAlignment="1">
      <alignment horizontal="center" wrapText="1" readingOrder="1"/>
    </xf>
    <xf numFmtId="0" fontId="29" fillId="12" borderId="18" xfId="0" applyFont="1" applyFill="1" applyBorder="1" applyAlignment="1">
      <alignment horizontal="center" wrapText="1" readingOrder="1"/>
    </xf>
    <xf numFmtId="0" fontId="29" fillId="11" borderId="18" xfId="0" applyFont="1" applyFill="1" applyBorder="1" applyAlignment="1">
      <alignment horizontal="center" wrapText="1" readingOrder="1"/>
    </xf>
    <xf numFmtId="167" fontId="4" fillId="2" borderId="2" xfId="1" applyNumberFormat="1" applyFont="1" applyFill="1" applyBorder="1" applyAlignment="1">
      <alignment horizontal="right" vertical="center" wrapText="1"/>
    </xf>
    <xf numFmtId="167" fontId="0" fillId="0" borderId="0" xfId="0" applyNumberFormat="1"/>
    <xf numFmtId="0" fontId="4" fillId="3" borderId="2" xfId="0" applyFont="1" applyFill="1" applyBorder="1"/>
    <xf numFmtId="14" fontId="8" fillId="5" borderId="2" xfId="0" applyNumberFormat="1" applyFont="1" applyFill="1" applyBorder="1" applyAlignment="1">
      <alignment horizontal="left"/>
    </xf>
    <xf numFmtId="0" fontId="24" fillId="3" borderId="3" xfId="3" applyFill="1" applyBorder="1"/>
    <xf numFmtId="0" fontId="27" fillId="0" borderId="21" xfId="0" applyFont="1" applyBorder="1" applyAlignment="1">
      <alignment wrapText="1" readingOrder="1"/>
    </xf>
    <xf numFmtId="14" fontId="27" fillId="0" borderId="21" xfId="0" applyNumberFormat="1" applyFont="1" applyBorder="1" applyAlignment="1">
      <alignment wrapText="1" readingOrder="1"/>
    </xf>
    <xf numFmtId="0" fontId="27" fillId="0" borderId="4" xfId="0" applyFont="1" applyBorder="1" applyAlignment="1">
      <alignment wrapText="1" readingOrder="1"/>
    </xf>
    <xf numFmtId="14" fontId="27" fillId="0" borderId="4" xfId="0" applyNumberFormat="1" applyFont="1" applyBorder="1" applyAlignment="1">
      <alignment wrapText="1" readingOrder="1"/>
    </xf>
    <xf numFmtId="0" fontId="2" fillId="2" borderId="10" xfId="0" applyFont="1" applyFill="1" applyBorder="1"/>
    <xf numFmtId="0" fontId="32" fillId="0" borderId="3" xfId="0" applyFont="1" applyBorder="1" applyAlignment="1">
      <alignment wrapText="1"/>
    </xf>
    <xf numFmtId="0" fontId="33" fillId="0" borderId="3" xfId="0" applyFont="1" applyBorder="1"/>
    <xf numFmtId="0" fontId="33" fillId="0" borderId="3" xfId="0" applyFont="1" applyBorder="1" applyAlignment="1">
      <alignment wrapText="1"/>
    </xf>
    <xf numFmtId="0" fontId="32" fillId="8" borderId="3" xfId="0" applyFont="1" applyFill="1" applyBorder="1"/>
    <xf numFmtId="0" fontId="32" fillId="0" borderId="3" xfId="0" applyFont="1" applyBorder="1"/>
    <xf numFmtId="0" fontId="34" fillId="8" borderId="3" xfId="0" applyFont="1" applyFill="1" applyBorder="1"/>
    <xf numFmtId="1" fontId="8" fillId="8" borderId="0" xfId="0" applyNumberFormat="1" applyFont="1" applyFill="1" applyAlignment="1">
      <alignment horizontal="center" vertical="center"/>
    </xf>
    <xf numFmtId="0" fontId="12" fillId="0" borderId="0" xfId="0" applyFont="1" applyAlignment="1">
      <alignment horizontal="center"/>
    </xf>
    <xf numFmtId="0" fontId="0" fillId="0" borderId="0" xfId="0" applyAlignment="1">
      <alignment horizontal="center"/>
    </xf>
    <xf numFmtId="0" fontId="13" fillId="3" borderId="13" xfId="0" applyFont="1" applyFill="1" applyBorder="1" applyAlignment="1">
      <alignment horizontal="center"/>
    </xf>
    <xf numFmtId="0" fontId="12" fillId="0" borderId="2" xfId="0" applyFont="1" applyBorder="1" applyAlignment="1">
      <alignment horizontal="center"/>
    </xf>
    <xf numFmtId="0" fontId="28" fillId="7" borderId="0" xfId="0" applyFont="1" applyFill="1"/>
    <xf numFmtId="0" fontId="37" fillId="15" borderId="7" xfId="0" applyFont="1" applyFill="1" applyBorder="1"/>
    <xf numFmtId="0" fontId="37" fillId="15" borderId="0" xfId="0" applyFont="1" applyFill="1"/>
    <xf numFmtId="0" fontId="11" fillId="0" borderId="2" xfId="0" applyFont="1" applyBorder="1"/>
    <xf numFmtId="0" fontId="11" fillId="8" borderId="4" xfId="0" applyFont="1" applyFill="1" applyBorder="1" applyAlignment="1">
      <alignment wrapText="1"/>
    </xf>
    <xf numFmtId="0" fontId="11" fillId="8" borderId="4" xfId="0" applyFont="1" applyFill="1" applyBorder="1"/>
    <xf numFmtId="0" fontId="17" fillId="8" borderId="4" xfId="0" applyFont="1" applyFill="1" applyBorder="1"/>
    <xf numFmtId="14" fontId="11" fillId="8" borderId="4" xfId="0" applyNumberFormat="1" applyFont="1" applyFill="1" applyBorder="1"/>
    <xf numFmtId="14" fontId="17" fillId="8" borderId="4" xfId="0" applyNumberFormat="1" applyFont="1" applyFill="1" applyBorder="1" applyAlignment="1">
      <alignment wrapText="1"/>
    </xf>
    <xf numFmtId="0" fontId="11" fillId="0" borderId="4" xfId="0" applyFont="1" applyBorder="1"/>
    <xf numFmtId="14" fontId="11" fillId="0" borderId="4" xfId="0" applyNumberFormat="1" applyFont="1" applyBorder="1"/>
    <xf numFmtId="8" fontId="11" fillId="8" borderId="4" xfId="0" applyNumberFormat="1" applyFont="1" applyFill="1" applyBorder="1"/>
    <xf numFmtId="0" fontId="18" fillId="8" borderId="4" xfId="0" applyFont="1" applyFill="1" applyBorder="1"/>
    <xf numFmtId="0" fontId="11" fillId="7" borderId="4" xfId="0" applyFont="1" applyFill="1" applyBorder="1" applyAlignment="1">
      <alignment wrapText="1"/>
    </xf>
    <xf numFmtId="8" fontId="11" fillId="7" borderId="4" xfId="0" applyNumberFormat="1" applyFont="1" applyFill="1" applyBorder="1" applyAlignment="1">
      <alignment wrapText="1"/>
    </xf>
    <xf numFmtId="0" fontId="11" fillId="7" borderId="4" xfId="0" applyFont="1" applyFill="1" applyBorder="1"/>
    <xf numFmtId="0" fontId="11" fillId="8" borderId="6" xfId="0" applyFont="1" applyFill="1" applyBorder="1"/>
    <xf numFmtId="0" fontId="11" fillId="8" borderId="21" xfId="0" applyFont="1" applyFill="1" applyBorder="1" applyAlignment="1">
      <alignment wrapText="1"/>
    </xf>
    <xf numFmtId="0" fontId="11" fillId="8" borderId="21" xfId="0" applyFont="1" applyFill="1" applyBorder="1"/>
    <xf numFmtId="0" fontId="17" fillId="8" borderId="21" xfId="0" applyFont="1" applyFill="1" applyBorder="1"/>
    <xf numFmtId="14" fontId="11" fillId="8" borderId="21" xfId="0" applyNumberFormat="1" applyFont="1" applyFill="1" applyBorder="1"/>
    <xf numFmtId="0" fontId="17" fillId="8" borderId="21" xfId="0" applyFont="1" applyFill="1" applyBorder="1" applyAlignment="1">
      <alignment wrapText="1"/>
    </xf>
    <xf numFmtId="14" fontId="17" fillId="8" borderId="21" xfId="0" applyNumberFormat="1" applyFont="1" applyFill="1" applyBorder="1" applyAlignment="1">
      <alignment wrapText="1"/>
    </xf>
    <xf numFmtId="8" fontId="11" fillId="8" borderId="21" xfId="0" applyNumberFormat="1" applyFont="1" applyFill="1" applyBorder="1"/>
    <xf numFmtId="0" fontId="18" fillId="8" borderId="21" xfId="0" applyFont="1" applyFill="1" applyBorder="1"/>
    <xf numFmtId="8" fontId="11" fillId="8" borderId="21" xfId="0" applyNumberFormat="1" applyFont="1" applyFill="1" applyBorder="1" applyAlignment="1">
      <alignment wrapText="1"/>
    </xf>
    <xf numFmtId="0" fontId="14" fillId="8" borderId="21" xfId="0" applyFont="1" applyFill="1" applyBorder="1"/>
    <xf numFmtId="0" fontId="16" fillId="8" borderId="21" xfId="0" applyFont="1" applyFill="1" applyBorder="1"/>
    <xf numFmtId="0" fontId="11" fillId="0" borderId="6" xfId="0" applyFont="1" applyBorder="1"/>
    <xf numFmtId="14" fontId="17" fillId="8" borderId="21" xfId="0" applyNumberFormat="1" applyFont="1" applyFill="1" applyBorder="1"/>
    <xf numFmtId="0" fontId="11" fillId="0" borderId="21" xfId="0" applyFont="1" applyBorder="1"/>
    <xf numFmtId="14" fontId="11" fillId="0" borderId="21" xfId="0" applyNumberFormat="1" applyFont="1" applyBorder="1"/>
    <xf numFmtId="0" fontId="11" fillId="7" borderId="21" xfId="0" applyFont="1" applyFill="1" applyBorder="1" applyAlignment="1">
      <alignment wrapText="1"/>
    </xf>
    <xf numFmtId="8" fontId="11" fillId="7" borderId="21" xfId="0" applyNumberFormat="1" applyFont="1" applyFill="1" applyBorder="1" applyAlignment="1">
      <alignment wrapText="1"/>
    </xf>
    <xf numFmtId="0" fontId="11" fillId="7" borderId="21" xfId="0" applyFont="1" applyFill="1" applyBorder="1"/>
    <xf numFmtId="8" fontId="18" fillId="8" borderId="21" xfId="0" applyNumberFormat="1" applyFont="1" applyFill="1" applyBorder="1"/>
    <xf numFmtId="0" fontId="19" fillId="8" borderId="21" xfId="0" applyFont="1" applyFill="1" applyBorder="1"/>
    <xf numFmtId="0" fontId="38" fillId="8" borderId="23" xfId="0" applyFont="1" applyFill="1" applyBorder="1"/>
    <xf numFmtId="0" fontId="38" fillId="8" borderId="20" xfId="0" applyFont="1" applyFill="1" applyBorder="1"/>
    <xf numFmtId="0" fontId="38" fillId="8" borderId="21" xfId="0" applyFont="1" applyFill="1" applyBorder="1"/>
    <xf numFmtId="14" fontId="38" fillId="8" borderId="21" xfId="0" applyNumberFormat="1" applyFont="1" applyFill="1" applyBorder="1"/>
    <xf numFmtId="0" fontId="39" fillId="8" borderId="21" xfId="0" applyFont="1" applyFill="1" applyBorder="1"/>
    <xf numFmtId="0" fontId="40" fillId="8" borderId="21" xfId="0" applyFont="1" applyFill="1" applyBorder="1"/>
    <xf numFmtId="0" fontId="38" fillId="8" borderId="20" xfId="0" applyFont="1" applyFill="1" applyBorder="1" applyAlignment="1">
      <alignment wrapText="1"/>
    </xf>
    <xf numFmtId="8" fontId="38" fillId="8" borderId="20" xfId="0" applyNumberFormat="1" applyFont="1" applyFill="1" applyBorder="1" applyAlignment="1">
      <alignment wrapText="1"/>
    </xf>
    <xf numFmtId="0" fontId="38" fillId="14" borderId="21" xfId="0" applyFont="1" applyFill="1" applyBorder="1" applyAlignment="1">
      <alignment wrapText="1"/>
    </xf>
    <xf numFmtId="8" fontId="38" fillId="14" borderId="21" xfId="0" applyNumberFormat="1" applyFont="1" applyFill="1" applyBorder="1" applyAlignment="1">
      <alignment wrapText="1"/>
    </xf>
    <xf numFmtId="0" fontId="38" fillId="14" borderId="21" xfId="0" applyFont="1" applyFill="1" applyBorder="1"/>
    <xf numFmtId="0" fontId="38" fillId="14" borderId="15" xfId="0" applyFont="1" applyFill="1" applyBorder="1" applyAlignment="1">
      <alignment wrapText="1"/>
    </xf>
    <xf numFmtId="0" fontId="21" fillId="0" borderId="0" xfId="0" applyFont="1"/>
    <xf numFmtId="14" fontId="39" fillId="8" borderId="21" xfId="0" applyNumberFormat="1" applyFont="1" applyFill="1" applyBorder="1"/>
    <xf numFmtId="8" fontId="38" fillId="14" borderId="15" xfId="0" applyNumberFormat="1" applyFont="1" applyFill="1" applyBorder="1" applyAlignment="1">
      <alignment wrapText="1"/>
    </xf>
    <xf numFmtId="14" fontId="27" fillId="0" borderId="0" xfId="0" applyNumberFormat="1" applyFont="1"/>
    <xf numFmtId="0" fontId="38" fillId="8" borderId="6" xfId="0" applyFont="1" applyFill="1" applyBorder="1"/>
    <xf numFmtId="0" fontId="38" fillId="8" borderId="19" xfId="0" applyFont="1" applyFill="1" applyBorder="1"/>
    <xf numFmtId="0" fontId="21" fillId="8" borderId="23" xfId="0" applyFont="1" applyFill="1" applyBorder="1"/>
    <xf numFmtId="0" fontId="38" fillId="8" borderId="4" xfId="0" applyFont="1" applyFill="1" applyBorder="1"/>
    <xf numFmtId="14" fontId="38" fillId="8" borderId="4" xfId="0" applyNumberFormat="1" applyFont="1" applyFill="1" applyBorder="1"/>
    <xf numFmtId="8" fontId="40" fillId="8" borderId="21" xfId="0" applyNumberFormat="1" applyFont="1" applyFill="1" applyBorder="1"/>
    <xf numFmtId="0" fontId="38" fillId="14" borderId="16" xfId="0" applyFont="1" applyFill="1" applyBorder="1" applyAlignment="1">
      <alignment wrapText="1"/>
    </xf>
    <xf numFmtId="0" fontId="12" fillId="0" borderId="0" xfId="0" applyFont="1"/>
    <xf numFmtId="0" fontId="11" fillId="8" borderId="2" xfId="0" applyFont="1" applyFill="1" applyBorder="1"/>
    <xf numFmtId="8" fontId="11" fillId="8" borderId="4" xfId="0" applyNumberFormat="1" applyFont="1" applyFill="1" applyBorder="1" applyAlignment="1">
      <alignment wrapText="1"/>
    </xf>
    <xf numFmtId="8" fontId="18" fillId="8" borderId="4" xfId="0" applyNumberFormat="1" applyFont="1" applyFill="1" applyBorder="1"/>
    <xf numFmtId="0" fontId="18" fillId="0" borderId="4" xfId="0" applyFont="1" applyBorder="1"/>
    <xf numFmtId="0" fontId="14" fillId="8" borderId="0" xfId="0" applyFont="1" applyFill="1"/>
    <xf numFmtId="14" fontId="11" fillId="8" borderId="21" xfId="0" applyNumberFormat="1" applyFont="1" applyFill="1" applyBorder="1" applyAlignment="1">
      <alignment wrapText="1"/>
    </xf>
    <xf numFmtId="0" fontId="18" fillId="0" borderId="21" xfId="0" applyFont="1" applyBorder="1"/>
    <xf numFmtId="0" fontId="21" fillId="8" borderId="21" xfId="0" applyFont="1" applyFill="1" applyBorder="1"/>
    <xf numFmtId="0" fontId="38" fillId="8" borderId="24" xfId="0" applyFont="1" applyFill="1" applyBorder="1"/>
    <xf numFmtId="0" fontId="38" fillId="8" borderId="21" xfId="0" applyFont="1" applyFill="1" applyBorder="1" applyAlignment="1">
      <alignment wrapText="1"/>
    </xf>
    <xf numFmtId="0" fontId="38" fillId="8" borderId="15" xfId="0" applyFont="1" applyFill="1" applyBorder="1"/>
    <xf numFmtId="14" fontId="39" fillId="8" borderId="21" xfId="0" applyNumberFormat="1" applyFont="1" applyFill="1" applyBorder="1" applyAlignment="1">
      <alignment wrapText="1"/>
    </xf>
    <xf numFmtId="0" fontId="21" fillId="8" borderId="0" xfId="0" applyFont="1" applyFill="1"/>
    <xf numFmtId="0" fontId="40" fillId="8" borderId="6" xfId="0" applyFont="1" applyFill="1" applyBorder="1"/>
    <xf numFmtId="8" fontId="40" fillId="8" borderId="6" xfId="0" applyNumberFormat="1" applyFont="1" applyFill="1" applyBorder="1"/>
    <xf numFmtId="8" fontId="38" fillId="8" borderId="21" xfId="0" applyNumberFormat="1" applyFont="1" applyFill="1" applyBorder="1" applyAlignment="1">
      <alignment wrapText="1"/>
    </xf>
    <xf numFmtId="0" fontId="38" fillId="8" borderId="25" xfId="0" applyFont="1" applyFill="1" applyBorder="1"/>
    <xf numFmtId="0" fontId="38" fillId="8" borderId="2" xfId="0" applyFont="1" applyFill="1" applyBorder="1"/>
    <xf numFmtId="0" fontId="40" fillId="8" borderId="4" xfId="0" applyFont="1" applyFill="1" applyBorder="1"/>
    <xf numFmtId="8" fontId="40" fillId="8" borderId="4" xfId="0" applyNumberFormat="1" applyFont="1" applyFill="1" applyBorder="1"/>
    <xf numFmtId="0" fontId="38" fillId="8" borderId="7" xfId="0" applyFont="1" applyFill="1" applyBorder="1"/>
    <xf numFmtId="0" fontId="38" fillId="8" borderId="4" xfId="0" applyFont="1" applyFill="1" applyBorder="1" applyAlignment="1">
      <alignment wrapText="1"/>
    </xf>
    <xf numFmtId="0" fontId="38" fillId="8" borderId="8" xfId="0" applyFont="1" applyFill="1" applyBorder="1"/>
    <xf numFmtId="0" fontId="38" fillId="8" borderId="7" xfId="0" applyFont="1" applyFill="1" applyBorder="1" applyAlignment="1">
      <alignment wrapText="1"/>
    </xf>
    <xf numFmtId="0" fontId="38" fillId="8" borderId="0" xfId="0" applyFont="1" applyFill="1"/>
    <xf numFmtId="0" fontId="38" fillId="8" borderId="12" xfId="0" applyFont="1" applyFill="1" applyBorder="1"/>
    <xf numFmtId="14" fontId="38" fillId="8" borderId="7" xfId="0" applyNumberFormat="1" applyFont="1" applyFill="1" applyBorder="1" applyAlignment="1">
      <alignment wrapText="1"/>
    </xf>
    <xf numFmtId="14" fontId="39" fillId="8" borderId="7" xfId="0" applyNumberFormat="1" applyFont="1" applyFill="1" applyBorder="1" applyAlignment="1">
      <alignment wrapText="1"/>
    </xf>
    <xf numFmtId="14" fontId="38" fillId="8" borderId="7" xfId="0" applyNumberFormat="1" applyFont="1" applyFill="1" applyBorder="1"/>
    <xf numFmtId="0" fontId="40" fillId="8" borderId="7" xfId="0" applyFont="1" applyFill="1" applyBorder="1"/>
    <xf numFmtId="8" fontId="40" fillId="8" borderId="7" xfId="0" applyNumberFormat="1" applyFont="1" applyFill="1" applyBorder="1"/>
    <xf numFmtId="8" fontId="38" fillId="8" borderId="7" xfId="0" applyNumberFormat="1" applyFont="1" applyFill="1" applyBorder="1" applyAlignment="1">
      <alignment wrapText="1"/>
    </xf>
    <xf numFmtId="0" fontId="38" fillId="8" borderId="14" xfId="0" applyFont="1" applyFill="1" applyBorder="1"/>
    <xf numFmtId="0" fontId="38" fillId="8" borderId="16" xfId="0" applyFont="1" applyFill="1" applyBorder="1"/>
    <xf numFmtId="0" fontId="38" fillId="8" borderId="3" xfId="0" applyFont="1" applyFill="1" applyBorder="1"/>
    <xf numFmtId="14" fontId="39" fillId="8" borderId="14" xfId="0" applyNumberFormat="1" applyFont="1" applyFill="1" applyBorder="1" applyAlignment="1">
      <alignment wrapText="1"/>
    </xf>
    <xf numFmtId="8" fontId="38" fillId="8" borderId="4" xfId="0" applyNumberFormat="1" applyFont="1" applyFill="1" applyBorder="1" applyAlignment="1">
      <alignment wrapText="1"/>
    </xf>
    <xf numFmtId="14" fontId="39" fillId="8" borderId="4" xfId="0" applyNumberFormat="1" applyFont="1" applyFill="1" applyBorder="1"/>
    <xf numFmtId="14" fontId="38" fillId="8" borderId="0" xfId="0" applyNumberFormat="1" applyFont="1" applyFill="1"/>
    <xf numFmtId="0" fontId="38" fillId="8" borderId="22" xfId="0" applyFont="1" applyFill="1" applyBorder="1"/>
    <xf numFmtId="0" fontId="41" fillId="16" borderId="15" xfId="0" applyFont="1" applyFill="1" applyBorder="1" applyAlignment="1">
      <alignment wrapText="1"/>
    </xf>
    <xf numFmtId="14" fontId="38" fillId="8" borderId="21" xfId="0" applyNumberFormat="1" applyFont="1" applyFill="1" applyBorder="1" applyAlignment="1">
      <alignment wrapText="1"/>
    </xf>
    <xf numFmtId="0" fontId="38" fillId="8" borderId="26" xfId="0" applyFont="1" applyFill="1" applyBorder="1"/>
    <xf numFmtId="0" fontId="38" fillId="8" borderId="5" xfId="0" applyFont="1" applyFill="1" applyBorder="1"/>
    <xf numFmtId="0" fontId="19" fillId="8" borderId="4" xfId="0" applyFont="1" applyFill="1" applyBorder="1"/>
    <xf numFmtId="8" fontId="19" fillId="8" borderId="21" xfId="0" applyNumberFormat="1" applyFont="1" applyFill="1" applyBorder="1"/>
    <xf numFmtId="8" fontId="11" fillId="7" borderId="21" xfId="0" applyNumberFormat="1" applyFont="1" applyFill="1" applyBorder="1"/>
    <xf numFmtId="0" fontId="19" fillId="0" borderId="21" xfId="0" applyFont="1" applyBorder="1"/>
    <xf numFmtId="14" fontId="38" fillId="8" borderId="27" xfId="0" applyNumberFormat="1" applyFont="1" applyFill="1" applyBorder="1"/>
    <xf numFmtId="8" fontId="38" fillId="8" borderId="21" xfId="0" applyNumberFormat="1" applyFont="1" applyFill="1" applyBorder="1"/>
    <xf numFmtId="8" fontId="38" fillId="14" borderId="21" xfId="0" applyNumberFormat="1" applyFont="1" applyFill="1" applyBorder="1"/>
    <xf numFmtId="0" fontId="38" fillId="8" borderId="9" xfId="0" applyFont="1" applyFill="1" applyBorder="1"/>
    <xf numFmtId="0" fontId="38" fillId="8" borderId="28" xfId="0" applyFont="1" applyFill="1" applyBorder="1"/>
    <xf numFmtId="0" fontId="38" fillId="0" borderId="21" xfId="0" applyFont="1" applyBorder="1"/>
    <xf numFmtId="14" fontId="38" fillId="8" borderId="11" xfId="0" applyNumberFormat="1" applyFont="1" applyFill="1" applyBorder="1"/>
    <xf numFmtId="0" fontId="38" fillId="8" borderId="17" xfId="0" applyFont="1" applyFill="1" applyBorder="1"/>
    <xf numFmtId="0" fontId="40" fillId="8" borderId="0" xfId="0" applyFont="1" applyFill="1"/>
    <xf numFmtId="0" fontId="38" fillId="14" borderId="0" xfId="0" applyFont="1" applyFill="1"/>
    <xf numFmtId="14" fontId="17" fillId="8" borderId="4" xfId="0" applyNumberFormat="1" applyFont="1" applyFill="1" applyBorder="1"/>
    <xf numFmtId="0" fontId="22" fillId="8" borderId="21" xfId="0" applyFont="1" applyFill="1" applyBorder="1"/>
    <xf numFmtId="14" fontId="22" fillId="8" borderId="21" xfId="0" applyNumberFormat="1" applyFont="1" applyFill="1" applyBorder="1"/>
    <xf numFmtId="8" fontId="19" fillId="7" borderId="21" xfId="0" applyNumberFormat="1" applyFont="1" applyFill="1" applyBorder="1"/>
    <xf numFmtId="8" fontId="38" fillId="7" borderId="21" xfId="0" applyNumberFormat="1" applyFont="1" applyFill="1" applyBorder="1" applyAlignment="1">
      <alignment wrapText="1"/>
    </xf>
    <xf numFmtId="0" fontId="11" fillId="8" borderId="0" xfId="0" applyFont="1" applyFill="1"/>
    <xf numFmtId="8" fontId="11" fillId="0" borderId="4" xfId="0" applyNumberFormat="1" applyFont="1" applyBorder="1"/>
    <xf numFmtId="0" fontId="15" fillId="8" borderId="4" xfId="0" applyFont="1" applyFill="1" applyBorder="1"/>
    <xf numFmtId="0" fontId="14" fillId="8" borderId="4" xfId="0" applyFont="1" applyFill="1" applyBorder="1"/>
    <xf numFmtId="0" fontId="5" fillId="5" borderId="0" xfId="0" applyFont="1" applyFill="1" applyAlignment="1">
      <alignment horizontal="left" wrapText="1"/>
    </xf>
    <xf numFmtId="14" fontId="8" fillId="5" borderId="0" xfId="0" applyNumberFormat="1" applyFont="1" applyFill="1" applyAlignment="1">
      <alignment horizontal="left"/>
    </xf>
    <xf numFmtId="0" fontId="14" fillId="3" borderId="0" xfId="0" applyFont="1" applyFill="1" applyAlignment="1">
      <alignment horizontal="center"/>
    </xf>
    <xf numFmtId="0" fontId="38" fillId="8" borderId="13" xfId="0" applyFont="1" applyFill="1" applyBorder="1"/>
    <xf numFmtId="0" fontId="24" fillId="8" borderId="0" xfId="3" applyFill="1" applyBorder="1" applyAlignment="1"/>
    <xf numFmtId="0" fontId="17" fillId="8" borderId="0" xfId="0" applyFont="1" applyFill="1"/>
    <xf numFmtId="8" fontId="38" fillId="8" borderId="0" xfId="0" applyNumberFormat="1" applyFont="1" applyFill="1"/>
    <xf numFmtId="8" fontId="40" fillId="8" borderId="0" xfId="0" applyNumberFormat="1" applyFont="1" applyFill="1"/>
    <xf numFmtId="8" fontId="38" fillId="7" borderId="0" xfId="0" applyNumberFormat="1" applyFont="1" applyFill="1" applyAlignment="1">
      <alignment wrapText="1"/>
    </xf>
    <xf numFmtId="8" fontId="38" fillId="8" borderId="0" xfId="0" applyNumberFormat="1" applyFont="1" applyFill="1" applyAlignment="1">
      <alignment wrapText="1"/>
    </xf>
    <xf numFmtId="14" fontId="39" fillId="8" borderId="0" xfId="0" applyNumberFormat="1" applyFont="1" applyFill="1"/>
    <xf numFmtId="8" fontId="38" fillId="14" borderId="0" xfId="0" applyNumberFormat="1" applyFont="1" applyFill="1" applyAlignment="1">
      <alignment wrapText="1"/>
    </xf>
    <xf numFmtId="0" fontId="0" fillId="17" borderId="0" xfId="0" applyFill="1"/>
    <xf numFmtId="14" fontId="0" fillId="0" borderId="29" xfId="0" applyNumberFormat="1" applyBorder="1" applyAlignment="1">
      <alignment horizontal="left"/>
    </xf>
    <xf numFmtId="14" fontId="0" fillId="0" borderId="29" xfId="0" applyNumberFormat="1" applyBorder="1" applyAlignment="1">
      <alignment horizontal="center"/>
    </xf>
    <xf numFmtId="165" fontId="0" fillId="0" borderId="29" xfId="0" applyNumberFormat="1" applyBorder="1" applyAlignment="1">
      <alignment horizontal="center"/>
    </xf>
    <xf numFmtId="14" fontId="0" fillId="0" borderId="29" xfId="0" applyNumberFormat="1" applyBorder="1"/>
    <xf numFmtId="0" fontId="5" fillId="8" borderId="2" xfId="0" applyFont="1" applyFill="1" applyBorder="1"/>
    <xf numFmtId="14" fontId="0" fillId="0" borderId="0" xfId="0" applyNumberFormat="1" applyAlignment="1">
      <alignment horizontal="left"/>
    </xf>
    <xf numFmtId="0" fontId="3" fillId="4" borderId="2" xfId="0" applyFont="1" applyFill="1" applyBorder="1" applyAlignment="1">
      <alignment horizontal="center"/>
    </xf>
    <xf numFmtId="2" fontId="3" fillId="4" borderId="2" xfId="0" applyNumberFormat="1" applyFont="1" applyFill="1" applyBorder="1" applyAlignment="1">
      <alignment horizontal="center"/>
    </xf>
    <xf numFmtId="164" fontId="3" fillId="4" borderId="2" xfId="0" applyNumberFormat="1" applyFont="1" applyFill="1" applyBorder="1" applyAlignment="1">
      <alignment horizontal="center"/>
    </xf>
    <xf numFmtId="44" fontId="3" fillId="4" borderId="2" xfId="1" applyFont="1" applyFill="1" applyBorder="1" applyAlignment="1">
      <alignment horizont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xf>
    <xf numFmtId="0" fontId="42" fillId="3" borderId="2" xfId="3" applyFont="1" applyFill="1" applyBorder="1" applyAlignment="1">
      <alignment vertical="center"/>
    </xf>
    <xf numFmtId="0" fontId="42" fillId="0" borderId="2" xfId="3" applyFont="1" applyBorder="1"/>
    <xf numFmtId="0" fontId="42" fillId="3" borderId="2" xfId="3" applyFont="1" applyFill="1" applyBorder="1"/>
    <xf numFmtId="0" fontId="3" fillId="4" borderId="1" xfId="0" applyFont="1" applyFill="1" applyBorder="1" applyAlignment="1">
      <alignment horizontal="center"/>
    </xf>
    <xf numFmtId="164" fontId="3" fillId="4" borderId="8" xfId="0" applyNumberFormat="1" applyFont="1" applyFill="1" applyBorder="1" applyAlignment="1">
      <alignment horizontal="center"/>
    </xf>
    <xf numFmtId="44" fontId="3" fillId="4" borderId="8" xfId="1" applyFont="1" applyFill="1" applyBorder="1" applyAlignment="1">
      <alignment horizontal="center"/>
    </xf>
    <xf numFmtId="0" fontId="3" fillId="4" borderId="13" xfId="0" applyFont="1" applyFill="1" applyBorder="1" applyAlignment="1">
      <alignment horizontal="center"/>
    </xf>
    <xf numFmtId="0" fontId="5" fillId="3" borderId="2" xfId="0" applyFont="1" applyFill="1" applyBorder="1"/>
    <xf numFmtId="0" fontId="5" fillId="3" borderId="2" xfId="0" applyFont="1" applyFill="1" applyBorder="1" applyAlignment="1">
      <alignment horizontal="center"/>
    </xf>
    <xf numFmtId="44" fontId="10" fillId="9" borderId="2" xfId="0" applyNumberFormat="1" applyFont="1" applyFill="1" applyBorder="1" applyAlignment="1">
      <alignment horizontal="left" vertical="top" wrapText="1"/>
    </xf>
    <xf numFmtId="44" fontId="10" fillId="3" borderId="2" xfId="0" applyNumberFormat="1" applyFont="1" applyFill="1" applyBorder="1" applyAlignment="1">
      <alignment horizontal="left" vertical="top" wrapText="1"/>
    </xf>
    <xf numFmtId="0" fontId="5" fillId="3" borderId="2" xfId="0" applyFont="1" applyFill="1" applyBorder="1" applyAlignment="1">
      <alignment wrapText="1"/>
    </xf>
    <xf numFmtId="14" fontId="7" fillId="3" borderId="2" xfId="0" applyNumberFormat="1" applyFont="1" applyFill="1" applyBorder="1" applyAlignment="1">
      <alignment horizontal="center" vertical="center" wrapText="1"/>
    </xf>
    <xf numFmtId="0" fontId="4" fillId="3" borderId="2" xfId="0" applyFont="1" applyFill="1" applyBorder="1" applyAlignment="1">
      <alignment vertical="center"/>
    </xf>
    <xf numFmtId="0" fontId="43" fillId="3" borderId="2" xfId="3" applyFont="1" applyFill="1" applyBorder="1"/>
    <xf numFmtId="0" fontId="43" fillId="3" borderId="2" xfId="3" applyFont="1" applyFill="1" applyBorder="1" applyAlignment="1">
      <alignment vertical="center"/>
    </xf>
    <xf numFmtId="0" fontId="5" fillId="5" borderId="2" xfId="0" applyFont="1" applyFill="1" applyBorder="1" applyAlignment="1">
      <alignment horizontal="left" wrapText="1"/>
    </xf>
    <xf numFmtId="0" fontId="42" fillId="3" borderId="2" xfId="3" applyFont="1" applyFill="1" applyBorder="1" applyAlignment="1"/>
    <xf numFmtId="0" fontId="42" fillId="8" borderId="2" xfId="3" applyFont="1" applyFill="1" applyBorder="1"/>
    <xf numFmtId="0" fontId="42" fillId="3" borderId="2" xfId="3" applyFont="1" applyFill="1" applyBorder="1" applyAlignment="1">
      <alignment horizontal="left" vertical="center"/>
    </xf>
    <xf numFmtId="0" fontId="4" fillId="3" borderId="2" xfId="0" applyFont="1" applyFill="1" applyBorder="1" applyAlignment="1">
      <alignment horizontal="left" vertical="center"/>
    </xf>
    <xf numFmtId="2" fontId="11" fillId="8" borderId="21" xfId="0" applyNumberFormat="1" applyFont="1" applyFill="1" applyBorder="1"/>
    <xf numFmtId="14" fontId="5" fillId="18" borderId="2" xfId="0" applyNumberFormat="1" applyFont="1" applyFill="1" applyBorder="1" applyAlignment="1">
      <alignment horizontal="left"/>
    </xf>
    <xf numFmtId="0" fontId="11" fillId="5" borderId="21" xfId="0" applyFont="1" applyFill="1" applyBorder="1"/>
    <xf numFmtId="0" fontId="19" fillId="5" borderId="21" xfId="0" applyFont="1" applyFill="1" applyBorder="1"/>
    <xf numFmtId="14" fontId="17" fillId="0" borderId="4" xfId="0" applyNumberFormat="1" applyFont="1" applyBorder="1"/>
    <xf numFmtId="0" fontId="4" fillId="3" borderId="0" xfId="0" applyFont="1" applyFill="1" applyAlignment="1">
      <alignment horizontal="left"/>
    </xf>
    <xf numFmtId="44" fontId="0" fillId="3" borderId="0" xfId="0" applyNumberFormat="1" applyFill="1"/>
    <xf numFmtId="0" fontId="4" fillId="3" borderId="0" xfId="0" applyFont="1" applyFill="1"/>
    <xf numFmtId="167" fontId="4" fillId="3" borderId="0" xfId="0" applyNumberFormat="1" applyFont="1" applyFill="1"/>
    <xf numFmtId="0" fontId="5" fillId="3" borderId="1" xfId="0" applyFont="1" applyFill="1" applyBorder="1"/>
    <xf numFmtId="0" fontId="4" fillId="0" borderId="1" xfId="0" applyFont="1" applyBorder="1"/>
    <xf numFmtId="0" fontId="5" fillId="3" borderId="1" xfId="0" applyFont="1" applyFill="1" applyBorder="1" applyAlignment="1">
      <alignment horizontal="center" vertical="center"/>
    </xf>
    <xf numFmtId="0" fontId="5" fillId="3" borderId="1" xfId="0" applyFont="1" applyFill="1" applyBorder="1" applyAlignment="1">
      <alignment horizontal="center"/>
    </xf>
    <xf numFmtId="14" fontId="5" fillId="3" borderId="1" xfId="0" applyNumberFormat="1" applyFont="1" applyFill="1" applyBorder="1" applyAlignment="1">
      <alignment horizontal="center"/>
    </xf>
    <xf numFmtId="0" fontId="4" fillId="3" borderId="1" xfId="0" applyFont="1" applyFill="1" applyBorder="1"/>
    <xf numFmtId="14" fontId="4" fillId="3" borderId="1" xfId="0" applyNumberFormat="1" applyFont="1" applyFill="1" applyBorder="1" applyAlignment="1">
      <alignment horizontal="center"/>
    </xf>
    <xf numFmtId="44" fontId="10" fillId="3" borderId="1" xfId="0" applyNumberFormat="1" applyFont="1" applyFill="1" applyBorder="1" applyAlignment="1">
      <alignment horizontal="left" vertical="top" wrapText="1"/>
    </xf>
    <xf numFmtId="44" fontId="10" fillId="0" borderId="1" xfId="0" applyNumberFormat="1" applyFont="1" applyBorder="1" applyAlignment="1">
      <alignment horizontal="left" vertical="top" wrapText="1"/>
    </xf>
    <xf numFmtId="166" fontId="8" fillId="3" borderId="1" xfId="0" applyNumberFormat="1" applyFont="1" applyFill="1" applyBorder="1" applyAlignment="1">
      <alignment horizontal="center" vertical="center"/>
    </xf>
    <xf numFmtId="44" fontId="4" fillId="2" borderId="1" xfId="1" applyFont="1" applyFill="1" applyBorder="1" applyAlignment="1">
      <alignment horizontal="right" vertical="center" wrapText="1"/>
    </xf>
    <xf numFmtId="167" fontId="4" fillId="2" borderId="1" xfId="1" applyNumberFormat="1" applyFont="1" applyFill="1" applyBorder="1" applyAlignment="1">
      <alignment horizontal="right" vertical="center" wrapText="1"/>
    </xf>
    <xf numFmtId="0" fontId="4" fillId="2" borderId="1" xfId="0" applyFont="1" applyFill="1" applyBorder="1" applyAlignment="1">
      <alignment horizontal="center"/>
    </xf>
    <xf numFmtId="0" fontId="5" fillId="3" borderId="10" xfId="0" applyFont="1" applyFill="1" applyBorder="1" applyAlignment="1">
      <alignment horizontal="left"/>
    </xf>
    <xf numFmtId="0" fontId="5" fillId="8" borderId="0" xfId="0" applyFont="1" applyFill="1" applyAlignment="1">
      <alignment horizontal="left" vertical="center"/>
    </xf>
    <xf numFmtId="0" fontId="5" fillId="8" borderId="1" xfId="0" applyFont="1" applyFill="1" applyBorder="1" applyAlignment="1">
      <alignment horizontal="left"/>
    </xf>
    <xf numFmtId="14" fontId="5" fillId="8" borderId="1" xfId="0" applyNumberFormat="1" applyFont="1" applyFill="1" applyBorder="1" applyAlignment="1">
      <alignment horizontal="left"/>
    </xf>
    <xf numFmtId="1" fontId="8" fillId="8" borderId="1" xfId="0" applyNumberFormat="1" applyFont="1" applyFill="1" applyBorder="1" applyAlignment="1">
      <alignment horizontal="center" vertical="center"/>
    </xf>
    <xf numFmtId="8" fontId="5" fillId="8" borderId="30" xfId="0" applyNumberFormat="1" applyFont="1" applyFill="1" applyBorder="1" applyAlignment="1">
      <alignment horizontal="left"/>
    </xf>
    <xf numFmtId="8" fontId="5" fillId="8" borderId="14" xfId="0" applyNumberFormat="1" applyFont="1" applyFill="1" applyBorder="1" applyAlignment="1">
      <alignment horizontal="left"/>
    </xf>
    <xf numFmtId="8" fontId="8" fillId="8" borderId="1" xfId="0" applyNumberFormat="1" applyFont="1" applyFill="1" applyBorder="1" applyAlignment="1">
      <alignment horizontal="left" vertical="center"/>
    </xf>
    <xf numFmtId="8" fontId="5" fillId="7" borderId="1" xfId="0" applyNumberFormat="1" applyFont="1" applyFill="1" applyBorder="1" applyAlignment="1">
      <alignment horizontal="left" vertical="center" wrapText="1"/>
    </xf>
    <xf numFmtId="0" fontId="5" fillId="7" borderId="1" xfId="0" applyFont="1" applyFill="1" applyBorder="1" applyAlignment="1">
      <alignment horizontal="left"/>
    </xf>
    <xf numFmtId="8" fontId="8" fillId="7" borderId="1" xfId="0" applyNumberFormat="1" applyFont="1" applyFill="1" applyBorder="1" applyAlignment="1">
      <alignment horizontal="left" vertical="center"/>
    </xf>
    <xf numFmtId="0" fontId="44" fillId="3" borderId="1" xfId="0" applyFont="1" applyFill="1" applyBorder="1" applyAlignment="1">
      <alignment horizontal="left"/>
    </xf>
    <xf numFmtId="14" fontId="5" fillId="3" borderId="2" xfId="0" applyNumberFormat="1" applyFont="1" applyFill="1" applyBorder="1" applyAlignment="1">
      <alignment horizontal="left"/>
    </xf>
    <xf numFmtId="0" fontId="5" fillId="5" borderId="2" xfId="0" applyFont="1" applyFill="1" applyBorder="1" applyAlignment="1">
      <alignment horizontal="left" vertical="center"/>
    </xf>
    <xf numFmtId="0" fontId="24" fillId="3" borderId="2" xfId="5" applyFill="1" applyBorder="1"/>
    <xf numFmtId="44" fontId="8" fillId="3" borderId="0" xfId="0" applyNumberFormat="1" applyFont="1" applyFill="1" applyAlignment="1">
      <alignment horizontal="left" vertical="center"/>
    </xf>
    <xf numFmtId="0" fontId="45" fillId="0" borderId="2" xfId="0" applyFont="1" applyBorder="1" applyAlignment="1">
      <alignment horizontal="center"/>
    </xf>
    <xf numFmtId="0" fontId="42" fillId="3" borderId="0" xfId="3" applyFont="1" applyFill="1" applyBorder="1" applyAlignment="1">
      <alignment vertical="center"/>
    </xf>
    <xf numFmtId="0" fontId="5" fillId="3" borderId="0" xfId="0" applyFont="1" applyFill="1" applyAlignment="1">
      <alignment horizontal="left" vertical="top"/>
    </xf>
    <xf numFmtId="0" fontId="5" fillId="3" borderId="0" xfId="0" applyFont="1" applyFill="1" applyAlignment="1">
      <alignment horizontal="left"/>
    </xf>
    <xf numFmtId="0" fontId="5" fillId="3" borderId="0" xfId="0" applyFont="1" applyFill="1" applyAlignment="1">
      <alignment horizontal="left" vertical="center"/>
    </xf>
    <xf numFmtId="14" fontId="4" fillId="3" borderId="0" xfId="0" applyNumberFormat="1" applyFont="1" applyFill="1" applyAlignment="1">
      <alignment horizontal="left" vertical="center" wrapText="1"/>
    </xf>
    <xf numFmtId="14" fontId="6" fillId="3" borderId="0" xfId="0" applyNumberFormat="1" applyFont="1" applyFill="1" applyAlignment="1">
      <alignment horizontal="left" vertical="center" wrapText="1"/>
    </xf>
    <xf numFmtId="14" fontId="5" fillId="3" borderId="0" xfId="0" applyNumberFormat="1" applyFont="1" applyFill="1" applyAlignment="1">
      <alignment horizontal="left" vertical="center"/>
    </xf>
    <xf numFmtId="44" fontId="4" fillId="3" borderId="0" xfId="1" applyFont="1" applyFill="1" applyBorder="1" applyAlignment="1">
      <alignment horizontal="left" vertical="center" wrapText="1"/>
    </xf>
    <xf numFmtId="2" fontId="40" fillId="8" borderId="21" xfId="0" applyNumberFormat="1" applyFont="1" applyFill="1" applyBorder="1"/>
    <xf numFmtId="2" fontId="38" fillId="8" borderId="21" xfId="0" applyNumberFormat="1" applyFont="1" applyFill="1" applyBorder="1"/>
    <xf numFmtId="0" fontId="4" fillId="3" borderId="2" xfId="0" applyFont="1" applyFill="1" applyBorder="1" applyAlignment="1">
      <alignment wrapText="1"/>
    </xf>
    <xf numFmtId="0" fontId="45" fillId="0" borderId="0" xfId="0" applyFont="1" applyAlignment="1">
      <alignment horizontal="center"/>
    </xf>
    <xf numFmtId="0" fontId="5" fillId="19" borderId="2" xfId="0" applyFont="1" applyFill="1" applyBorder="1" applyAlignment="1">
      <alignment horizontal="left" wrapText="1"/>
    </xf>
    <xf numFmtId="0" fontId="5" fillId="3" borderId="2" xfId="0" applyFont="1" applyFill="1" applyBorder="1" applyAlignment="1">
      <alignment horizontal="left" wrapText="1"/>
    </xf>
    <xf numFmtId="0" fontId="4" fillId="20" borderId="2" xfId="0" applyFont="1" applyFill="1" applyBorder="1"/>
    <xf numFmtId="0" fontId="5" fillId="20" borderId="2" xfId="0" applyFont="1" applyFill="1" applyBorder="1"/>
    <xf numFmtId="0" fontId="36" fillId="0" borderId="0" xfId="0" applyFont="1" applyAlignment="1"/>
    <xf numFmtId="0" fontId="28" fillId="7" borderId="13" xfId="0" applyFont="1" applyFill="1" applyBorder="1" applyAlignment="1"/>
    <xf numFmtId="0" fontId="28" fillId="7" borderId="0" xfId="0" applyFont="1" applyFill="1" applyAlignment="1"/>
    <xf numFmtId="0" fontId="12" fillId="0" borderId="0" xfId="0" applyFont="1" applyAlignment="1"/>
    <xf numFmtId="0" fontId="14" fillId="8" borderId="0" xfId="0" applyFont="1" applyFill="1" applyAlignment="1"/>
    <xf numFmtId="0" fontId="11" fillId="8" borderId="13" xfId="0" applyFont="1" applyFill="1" applyBorder="1" applyAlignment="1"/>
    <xf numFmtId="0" fontId="11" fillId="8" borderId="0" xfId="0" applyFont="1" applyFill="1" applyAlignment="1"/>
  </cellXfs>
  <cellStyles count="6">
    <cellStyle name="Hiperlink" xfId="3" builtinId="8"/>
    <cellStyle name="Hyperlink" xfId="5" xr:uid="{00000000-000B-0000-0000-000008000000}"/>
    <cellStyle name="Moeda 2" xfId="1" xr:uid="{66B2B3DA-BD32-44A0-B115-BD7D4357DC1B}"/>
    <cellStyle name="Moeda 2 2" xfId="4" xr:uid="{63663064-7BFB-4287-94F6-E7DE42A5D30B}"/>
    <cellStyle name="Normal" xfId="0" builtinId="0"/>
    <cellStyle name="Normal 2" xfId="2" xr:uid="{6B22D0A5-9B38-4787-8623-55968A06946B}"/>
  </cellStyles>
  <dxfs count="103">
    <dxf>
      <font>
        <b val="0"/>
        <i val="0"/>
        <strike val="0"/>
        <condense val="0"/>
        <extend val="0"/>
        <outline val="0"/>
        <shadow val="0"/>
        <u val="none"/>
        <vertAlign val="baseline"/>
        <sz val="10"/>
        <color auto="1"/>
        <name val="Aptos Narrow"/>
        <family val="2"/>
        <scheme val="minor"/>
      </font>
      <numFmt numFmtId="34" formatCode="_-&quot;R$&quot;\ * #,##0.00_-;\-&quot;R$&quot;\ * #,##0.00_-;_-&quot;R$&quot;\ * &quot;-&quot;??_-;_-@_-"/>
      <fill>
        <patternFill patternType="solid">
          <fgColor rgb="FF000000"/>
          <bgColor rgb="FFA6A6A6"/>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rgb="FF000000"/>
          <bgColor rgb="FFA6A6A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2" formatCode="&quot;R$&quot;\ #,##0.00;[Red]\-&quot;R$&quot;\ #,##0.00"/>
      <fill>
        <patternFill patternType="solid">
          <fgColor rgb="FF000000"/>
          <bgColor rgb="FFA6A6A6"/>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2" formatCode="&quot;R$&quot;\ #,##0.00;[Red]\-&quot;R$&quot;\ #,##0.00"/>
      <fill>
        <patternFill patternType="solid">
          <fgColor rgb="FF000000"/>
          <bgColor rgb="FFA6A6A6"/>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12" formatCode="&quot;R$&quot;\ #,##0.00;[Red]\-&quot;R$&quot;\ #,##0.00"/>
      <fill>
        <patternFill patternType="solid">
          <fgColor rgb="FF000000"/>
          <bgColor rgb="FFFFFFFF"/>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12" formatCode="&quot;R$&quot;\ #,##0.00;[Red]\-&quot;R$&quot;\ #,##0.00"/>
      <fill>
        <patternFill patternType="solid">
          <fgColor rgb="FF000000"/>
          <bgColor rgb="FFFFFFFF"/>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rgb="FF000000"/>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rgb="FF000000"/>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2" formatCode="&quot;R$&quot;\ #,##0.00;[Red]\-&quot;R$&quot;\ #,##0.00"/>
      <fill>
        <patternFill patternType="solid">
          <fgColor rgb="FF000000"/>
          <bgColor rgb="FFFFFFFF"/>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2" formatCode="&quot;R$&quot;\ #,##0.00;[Red]\-&quot;R$&quot;\ #,##0.00"/>
      <fill>
        <patternFill patternType="solid">
          <fgColor rgb="FF000000"/>
          <bgColor rgb="FFFFFFFF"/>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ptos Narrow"/>
        <family val="2"/>
        <scheme val="minor"/>
      </font>
      <numFmt numFmtId="1" formatCode="0"/>
      <fill>
        <patternFill patternType="solid">
          <fgColor rgb="FF000000"/>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9" formatCode="dd/mm/yyyy"/>
      <fill>
        <patternFill patternType="solid">
          <fgColor rgb="FF000000"/>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9" formatCode="dd/mm/yyyy"/>
      <fill>
        <patternFill patternType="solid">
          <fgColor rgb="FF000000"/>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rgb="FF000000"/>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numFmt numFmtId="19" formatCode="dd/mm/yyyy"/>
      <fill>
        <patternFill patternType="solid">
          <fgColor rgb="FF000000"/>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rgb="FF000000"/>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rgb="FF000000"/>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rgb="FF000000"/>
          <bgColor rgb="FFFFFFFF"/>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rgb="FF000000"/>
          <bgColor rgb="FFFFFFFF"/>
        </patternFill>
      </fill>
      <alignment horizontal="left" vertical="center" textRotation="0" wrapText="0" indent="0" justifyLastLine="0" shrinkToFit="0" readingOrder="0"/>
      <border diagonalUp="0" diagonalDown="0">
        <left/>
        <right/>
        <top/>
        <bottom style="thin">
          <color rgb="FF000000"/>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i val="0"/>
        <strike val="0"/>
        <condense val="0"/>
        <extend val="0"/>
        <outline val="0"/>
        <shadow val="0"/>
        <u val="none"/>
        <vertAlign val="baseline"/>
        <sz val="10"/>
        <color theme="0"/>
        <name val="Aptos Narrow"/>
        <family val="2"/>
        <scheme val="minor"/>
      </font>
      <fill>
        <patternFill patternType="solid">
          <fgColor indexed="64"/>
          <bgColor rgb="FF00206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ptos Narrow"/>
        <family val="2"/>
        <scheme val="minor"/>
      </font>
      <fill>
        <patternFill>
          <bgColor theme="0"/>
        </patternFill>
      </fill>
      <alignment horizontal="left" vertical="bottom" textRotation="0" indent="0" justifyLastLine="0" shrinkToFit="0" readingOrder="0"/>
    </dxf>
    <dxf>
      <font>
        <b val="0"/>
        <i val="0"/>
        <strike val="0"/>
        <condense val="0"/>
        <extend val="0"/>
        <outline val="0"/>
        <shadow val="0"/>
        <u val="none"/>
        <vertAlign val="baseline"/>
        <sz val="10"/>
        <color rgb="FF000000"/>
        <name val="Aptos Narrow"/>
        <family val="2"/>
        <scheme val="minor"/>
      </font>
      <numFmt numFmtId="34" formatCode="_-&quot;R$&quot;\ * #,##0.00_-;\-&quot;R$&quot;\ * #,##0.00_-;_-&quot;R$&quot;\ * &quot;-&quot;??_-;_-@_-"/>
      <fill>
        <patternFill patternType="solid">
          <fgColor rgb="FF000000"/>
          <bgColor theme="2" tint="-9.9978637043366805E-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rgb="FF000000"/>
          <bgColor theme="2" tint="-9.9978637043366805E-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34" formatCode="_-&quot;R$&quot;\ * #,##0.00_-;\-&quot;R$&quot;\ * #,##0.00_-;_-&quot;R$&quot;\ * &quot;-&quot;??_-;_-@_-"/>
      <fill>
        <patternFill patternType="solid">
          <fgColor rgb="FF000000"/>
          <bgColor theme="2" tint="-9.9978637043366805E-2"/>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34" formatCode="_-&quot;R$&quot;\ * #,##0.00_-;\-&quot;R$&quot;\ * #,##0.00_-;_-&quot;R$&quot;\ * &quot;-&quot;??_-;_-@_-"/>
      <fill>
        <patternFill patternType="solid">
          <fgColor rgb="FF000000"/>
          <bgColor theme="2" tint="-9.9978637043366805E-2"/>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34" formatCode="_-&quot;R$&quot;\ * #,##0.00_-;\-&quot;R$&quot;\ * #,##0.00_-;_-&quot;R$&quot;\ * &quot;-&quot;??_-;_-@_-"/>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34" formatCode="_-&quot;R$&quot;\ * #,##0.00_-;\-&quot;R$&quot;\ * #,##0.00_-;_-&quot;R$&quot;\ * &quot;-&quot;??_-;_-@_-"/>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34" formatCode="_-&quot;R$&quot;\ * #,##0.00_-;\-&quot;R$&quot;\ * #,##0.00_-;_-&quot;R$&quot;\ * &quot;-&quot;??_-;_-@_-"/>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34" formatCode="_-&quot;R$&quot;\ * #,##0.00_-;\-&quot;R$&quot;\ * #,##0.00_-;_-&quot;R$&quot;\ * &quot;-&quot;??_-;_-@_-"/>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34" formatCode="_-&quot;R$&quot;\ * #,##0.00_-;\-&quot;R$&quot;\ * #,##0.00_-;_-&quot;R$&quot;\ * &quot;-&quot;??_-;_-@_-"/>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19" formatCode="dd/mm/yyyy"/>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19" formatCode="dd/mm/yyyy"/>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19" formatCode="dd/mm/yyyy"/>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19" formatCode="dd/mm/yyyy"/>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color rgb="FF000000"/>
        <name val="Aptos Narrow"/>
        <family val="2"/>
        <scheme val="minor"/>
      </font>
      <fill>
        <patternFill patternType="solid">
          <fgColor rgb="FF000000"/>
          <bgColor theme="0"/>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0"/>
        <name val="Aptos Narrow"/>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rgb="FF000000"/>
          <bgColor theme="0"/>
        </patternFill>
      </fil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rgb="FF000000"/>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Aptos Narrow"/>
        <family val="2"/>
        <scheme val="minor"/>
      </font>
      <fill>
        <patternFill>
          <bgColor theme="0"/>
        </patternFill>
      </fill>
      <alignment horizontal="left" vertical="bottom" textRotation="0" indent="0" justifyLastLine="0" shrinkToFit="0" readingOrder="0"/>
    </dxf>
    <dxf>
      <font>
        <b/>
        <i val="0"/>
        <strike val="0"/>
        <condense val="0"/>
        <extend val="0"/>
        <outline val="0"/>
        <shadow val="0"/>
        <u val="none"/>
        <vertAlign val="baseline"/>
        <sz val="10"/>
        <color theme="0"/>
        <name val="Aptos Narrow"/>
        <family val="2"/>
        <scheme val="minor"/>
      </font>
      <fill>
        <patternFill patternType="solid">
          <fgColor indexed="64"/>
          <bgColor rgb="FF00206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ptos Narrow"/>
        <family val="2"/>
        <scheme val="minor"/>
      </font>
      <fill>
        <patternFill>
          <fgColor indexed="64"/>
          <bgColor theme="0"/>
        </patternFill>
      </fill>
    </dxf>
    <dxf>
      <font>
        <b val="0"/>
        <i val="0"/>
        <strike val="0"/>
        <condense val="0"/>
        <extend val="0"/>
        <outline val="0"/>
        <shadow val="0"/>
        <u val="none"/>
        <vertAlign val="baseline"/>
        <sz val="10"/>
        <color theme="1"/>
        <name val="Aptos Narrow"/>
        <family val="2"/>
        <scheme val="minor"/>
      </font>
      <fill>
        <patternFill patternType="solid">
          <fgColor indexed="64"/>
          <bgColor theme="2" tint="-9.9978637043366805E-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2" tint="-9.9978637043366805E-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67" formatCode="_-[$R$-416]\ * #,##0.00_-;\-[$R$-416]\ * #,##0.00_-;_-[$R$-416]\ * &quot;-&quot;??_-;_-@_-"/>
      <fill>
        <patternFill patternType="solid">
          <fgColor indexed="64"/>
          <bgColor theme="2" tint="-9.9978637043366805E-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2" tint="-9.9978637043366805E-2"/>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166" formatCode="_-&quot;R$&quot;\ * #,##0.00_-;\-&quot;R$&quot;\ * #,##0.00_-;_-&quot;R$&quot;\ * &quot;-&quot;??_-;_-@"/>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ptos Narrow"/>
        <family val="2"/>
        <scheme val="minor"/>
      </font>
      <numFmt numFmtId="34" formatCode="_-&quot;R$&quot;\ * #,##0.00_-;\-&quot;R$&quot;\ * #,##0.00_-;_-&quot;R$&quot;\ * &quot;-&quot;??_-;_-@_-"/>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ptos Narrow"/>
        <family val="2"/>
        <scheme val="minor"/>
      </font>
      <numFmt numFmtId="34" formatCode="_-&quot;R$&quot;\ * #,##0.00_-;\-&quot;R$&quot;\ * #,##0.00_-;_-&quot;R$&quot;\ * &quot;-&quot;??_-;_-@_-"/>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ptos Narrow"/>
        <family val="2"/>
        <scheme val="minor"/>
      </font>
      <numFmt numFmtId="34" formatCode="_-&quot;R$&quot;\ * #,##0.00_-;\-&quot;R$&quot;\ * #,##0.00_-;_-&quot;R$&quot;\ * &quot;-&quot;??_-;_-@_-"/>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indexed="8"/>
        <name val="Aptos Narrow"/>
        <family val="2"/>
        <scheme val="minor"/>
      </font>
      <numFmt numFmtId="34" formatCode="_-&quot;R$&quot;\ * #,##0.00_-;\-&quot;R$&quot;\ * #,##0.00_-;_-&quot;R$&quot;\ * &quot;-&quot;??_-;_-@_-"/>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9"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9" formatCode="dd/mm/yyyy"/>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9" formatCode="dd/mm/yyyy"/>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Aptos Narrow"/>
        <family val="2"/>
        <scheme val="minor"/>
      </font>
      <fill>
        <patternFill>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19" formatCode="dd/mm/yyyy"/>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0"/>
        <name val="Aptos Narrow"/>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outline="0">
        <right style="thin">
          <color indexed="64"/>
        </right>
        <top style="thin">
          <color indexed="64"/>
        </top>
        <bottom style="thin">
          <color indexed="64"/>
        </bottom>
      </border>
    </dxf>
    <dxf>
      <font>
        <strike val="0"/>
        <outline val="0"/>
        <shadow val="0"/>
        <u val="none"/>
        <vertAlign val="baseline"/>
        <sz val="10"/>
        <name val="Aptos Narrow"/>
        <family val="2"/>
        <scheme val="minor"/>
      </font>
      <fill>
        <patternFill>
          <fgColor indexed="64"/>
          <bgColor theme="0"/>
        </patternFill>
      </fill>
    </dxf>
    <dxf>
      <font>
        <b/>
        <i val="0"/>
        <strike val="0"/>
        <condense val="0"/>
        <extend val="0"/>
        <outline val="0"/>
        <shadow val="0"/>
        <u val="none"/>
        <vertAlign val="baseline"/>
        <sz val="10"/>
        <color theme="0"/>
        <name val="Aptos Narrow"/>
        <family val="2"/>
        <scheme val="minor"/>
      </font>
      <fill>
        <patternFill patternType="solid">
          <fgColor indexed="64"/>
          <bgColor rgb="FF00206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ptos Narrow"/>
        <family val="2"/>
        <scheme val="minor"/>
      </font>
      <numFmt numFmtId="34" formatCode="_-&quot;R$&quot;\ * #,##0.00_-;\-&quot;R$&quot;\ * #,##0.00_-;_-&quot;R$&quot;\ * &quot;-&quot;??_-;_-@_-"/>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34" formatCode="_-&quot;R$&quot;\ * #,##0.00_-;\-&quot;R$&quot;\ * #,##0.00_-;_-&quot;R$&quot;\ * &quot;-&quot;??_-;_-@_-"/>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34" formatCode="_-&quot;R$&quot;\ * #,##0.00_-;\-&quot;R$&quot;\ * #,##0.00_-;_-&quot;R$&quot;\ * &quot;-&quot;??_-;_-@_-"/>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34" formatCode="_-&quot;R$&quot;\ * #,##0.00_-;\-&quot;R$&quot;\ * #,##0.00_-;_-&quot;R$&quot;\ * &quot;-&quot;??_-;_-@_-"/>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34" formatCode="_-&quot;R$&quot;\ * #,##0.00_-;\-&quot;R$&quot;\ * #,##0.00_-;_-&quot;R$&quot;\ * &quot;-&quot;??_-;_-@_-"/>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ptos Narrow"/>
        <family val="2"/>
        <scheme val="minor"/>
      </font>
      <numFmt numFmtId="1" formatCode="0"/>
      <fill>
        <patternFill patternType="solid">
          <fgColor rgb="FF000000"/>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19" formatCode="dd/mm/yyyy"/>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19" formatCode="dd/mm/yyyy"/>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FF0000"/>
        <name val="Aptos Narrow"/>
        <family val="2"/>
        <scheme val="minor"/>
      </font>
      <numFmt numFmtId="19" formatCode="dd/mm/yyyy"/>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numFmt numFmtId="19" formatCode="dd/mm/yyyy"/>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numFmt numFmtId="0" formatCode="General"/>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Narrow"/>
        <family val="2"/>
        <scheme val="minor"/>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vertAlign val="baseline"/>
        <sz val="10"/>
        <name val="Aptos Narrow"/>
        <family val="2"/>
        <scheme val="minor"/>
      </font>
    </dxf>
    <dxf>
      <font>
        <b/>
        <i val="0"/>
        <strike val="0"/>
        <condense val="0"/>
        <extend val="0"/>
        <outline val="0"/>
        <shadow val="0"/>
        <u val="none"/>
        <vertAlign val="baseline"/>
        <sz val="10"/>
        <color theme="0"/>
        <name val="Aptos Narrow"/>
        <family val="2"/>
        <scheme val="minor"/>
      </font>
      <fill>
        <patternFill patternType="solid">
          <fgColor indexed="64"/>
          <bgColor rgb="FF00206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A6A6A6"/>
      <color rgb="FFFF99FF"/>
      <color rgb="FF03430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47625</xdr:rowOff>
    </xdr:from>
    <xdr:to>
      <xdr:col>0</xdr:col>
      <xdr:colOff>539750</xdr:colOff>
      <xdr:row>2</xdr:row>
      <xdr:rowOff>10913</xdr:rowOff>
    </xdr:to>
    <xdr:pic>
      <xdr:nvPicPr>
        <xdr:cNvPr id="3" name="Imagem 2" descr="Logotipo, nome da empresa&#10;&#10;Descrição gerada automaticamente">
          <a:extLst>
            <a:ext uri="{FF2B5EF4-FFF2-40B4-BE49-F238E27FC236}">
              <a16:creationId xmlns:a16="http://schemas.microsoft.com/office/drawing/2014/main" id="{B9EFD143-DC94-4A00-B5F5-4E588FD81401}"/>
            </a:ext>
            <a:ext uri="{147F2762-F138-4A5C-976F-8EAC2B608ADB}">
              <a16:predDERef xmlns:a16="http://schemas.microsoft.com/office/drawing/2014/main" pred="{594B42B2-96B9-45DF-BAE7-14F2681855CF}"/>
            </a:ext>
          </a:extLst>
        </xdr:cNvPr>
        <xdr:cNvPicPr>
          <a:picLocks noChangeAspect="1"/>
        </xdr:cNvPicPr>
      </xdr:nvPicPr>
      <xdr:blipFill rotWithShape="1">
        <a:blip xmlns:r="http://schemas.openxmlformats.org/officeDocument/2006/relationships" r:embed="rId1"/>
        <a:srcRect b="10066"/>
        <a:stretch/>
      </xdr:blipFill>
      <xdr:spPr bwMode="auto">
        <a:xfrm>
          <a:off x="95250" y="47625"/>
          <a:ext cx="447675" cy="34746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28575</xdr:rowOff>
    </xdr:from>
    <xdr:to>
      <xdr:col>1</xdr:col>
      <xdr:colOff>447675</xdr:colOff>
      <xdr:row>2</xdr:row>
      <xdr:rowOff>1388</xdr:rowOff>
    </xdr:to>
    <xdr:pic>
      <xdr:nvPicPr>
        <xdr:cNvPr id="3" name="Imagem 2" descr="Logotipo, nome da empresa&#10;&#10;Descrição gerada automaticamente">
          <a:extLst>
            <a:ext uri="{FF2B5EF4-FFF2-40B4-BE49-F238E27FC236}">
              <a16:creationId xmlns:a16="http://schemas.microsoft.com/office/drawing/2014/main" id="{C3192E03-0A7C-40F7-96F2-350848B1BD7D}"/>
            </a:ext>
            <a:ext uri="{147F2762-F138-4A5C-976F-8EAC2B608ADB}">
              <a16:predDERef xmlns:a16="http://schemas.microsoft.com/office/drawing/2014/main" pred="{594B42B2-96B9-45DF-BAE7-14F2681855CF}"/>
            </a:ext>
          </a:extLst>
        </xdr:cNvPr>
        <xdr:cNvPicPr>
          <a:picLocks noChangeAspect="1"/>
        </xdr:cNvPicPr>
      </xdr:nvPicPr>
      <xdr:blipFill rotWithShape="1">
        <a:blip xmlns:r="http://schemas.openxmlformats.org/officeDocument/2006/relationships" r:embed="rId1"/>
        <a:srcRect b="10066"/>
        <a:stretch/>
      </xdr:blipFill>
      <xdr:spPr bwMode="auto">
        <a:xfrm>
          <a:off x="76200" y="28575"/>
          <a:ext cx="447675" cy="3474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1</xdr:col>
      <xdr:colOff>180975</xdr:colOff>
      <xdr:row>2</xdr:row>
      <xdr:rowOff>10913</xdr:rowOff>
    </xdr:to>
    <xdr:pic>
      <xdr:nvPicPr>
        <xdr:cNvPr id="2" name="Imagem 2" descr="Logotipo, nome da empresa&#10;&#10;Descrição gerada automaticamente">
          <a:extLst>
            <a:ext uri="{FF2B5EF4-FFF2-40B4-BE49-F238E27FC236}">
              <a16:creationId xmlns:a16="http://schemas.microsoft.com/office/drawing/2014/main" id="{2BEF97A3-CA45-49EC-9886-1606DEC67453}"/>
            </a:ext>
            <a:ext uri="{147F2762-F138-4A5C-976F-8EAC2B608ADB}">
              <a16:predDERef xmlns:a16="http://schemas.microsoft.com/office/drawing/2014/main" pred="{594B42B2-96B9-45DF-BAE7-14F2681855CF}"/>
            </a:ext>
          </a:extLst>
        </xdr:cNvPr>
        <xdr:cNvPicPr>
          <a:picLocks noChangeAspect="1"/>
        </xdr:cNvPicPr>
      </xdr:nvPicPr>
      <xdr:blipFill rotWithShape="1">
        <a:blip xmlns:r="http://schemas.openxmlformats.org/officeDocument/2006/relationships" r:embed="rId1"/>
        <a:srcRect b="10066"/>
        <a:stretch/>
      </xdr:blipFill>
      <xdr:spPr bwMode="auto">
        <a:xfrm>
          <a:off x="95250" y="28575"/>
          <a:ext cx="447675" cy="34746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123825</xdr:colOff>
      <xdr:row>0</xdr:row>
      <xdr:rowOff>66675</xdr:rowOff>
    </xdr:from>
    <xdr:to>
      <xdr:col>1</xdr:col>
      <xdr:colOff>47625</xdr:colOff>
      <xdr:row>2</xdr:row>
      <xdr:rowOff>33138</xdr:rowOff>
    </xdr:to>
    <xdr:pic>
      <xdr:nvPicPr>
        <xdr:cNvPr id="3" name="Imagem 2" descr="Logotipo, nome da empresa&#10;&#10;Descrição gerada automaticamente">
          <a:extLst>
            <a:ext uri="{FF2B5EF4-FFF2-40B4-BE49-F238E27FC236}">
              <a16:creationId xmlns:a16="http://schemas.microsoft.com/office/drawing/2014/main" id="{8EAAD91C-083A-4065-99FB-4C4D205DF1D8}"/>
            </a:ext>
            <a:ext uri="{147F2762-F138-4A5C-976F-8EAC2B608ADB}">
              <a16:predDERef xmlns:a16="http://schemas.microsoft.com/office/drawing/2014/main" pred="{594B42B2-96B9-45DF-BAE7-14F2681855CF}"/>
            </a:ext>
          </a:extLst>
        </xdr:cNvPr>
        <xdr:cNvPicPr>
          <a:picLocks noChangeAspect="1"/>
        </xdr:cNvPicPr>
      </xdr:nvPicPr>
      <xdr:blipFill rotWithShape="1">
        <a:blip xmlns:r="http://schemas.openxmlformats.org/officeDocument/2006/relationships" r:embed="rId1"/>
        <a:srcRect b="10066"/>
        <a:stretch/>
      </xdr:blipFill>
      <xdr:spPr bwMode="auto">
        <a:xfrm>
          <a:off x="123825" y="66675"/>
          <a:ext cx="447675" cy="34746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47625</xdr:rowOff>
    </xdr:from>
    <xdr:to>
      <xdr:col>0</xdr:col>
      <xdr:colOff>504825</xdr:colOff>
      <xdr:row>2</xdr:row>
      <xdr:rowOff>14088</xdr:rowOff>
    </xdr:to>
    <xdr:pic>
      <xdr:nvPicPr>
        <xdr:cNvPr id="2" name="Imagem 1" descr="Logotipo, nome da empresa&#10;&#10;Descrição gerada automaticamente">
          <a:extLst>
            <a:ext uri="{FF2B5EF4-FFF2-40B4-BE49-F238E27FC236}">
              <a16:creationId xmlns:a16="http://schemas.microsoft.com/office/drawing/2014/main" id="{E7F9BFBA-9D9B-41B8-A19A-D5FE0CF0B29A}"/>
            </a:ext>
            <a:ext uri="{147F2762-F138-4A5C-976F-8EAC2B608ADB}">
              <a16:predDERef xmlns:a16="http://schemas.microsoft.com/office/drawing/2014/main" pred="{594B42B2-96B9-45DF-BAE7-14F2681855CF}"/>
            </a:ext>
          </a:extLst>
        </xdr:cNvPr>
        <xdr:cNvPicPr>
          <a:picLocks noChangeAspect="1"/>
        </xdr:cNvPicPr>
      </xdr:nvPicPr>
      <xdr:blipFill rotWithShape="1">
        <a:blip xmlns:r="http://schemas.openxmlformats.org/officeDocument/2006/relationships" r:embed="rId1"/>
        <a:srcRect b="10066"/>
        <a:stretch/>
      </xdr:blipFill>
      <xdr:spPr bwMode="auto">
        <a:xfrm>
          <a:off x="57150" y="47625"/>
          <a:ext cx="447675" cy="3474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57150</xdr:colOff>
      <xdr:row>0</xdr:row>
      <xdr:rowOff>47625</xdr:rowOff>
    </xdr:from>
    <xdr:to>
      <xdr:col>0</xdr:col>
      <xdr:colOff>504825</xdr:colOff>
      <xdr:row>2</xdr:row>
      <xdr:rowOff>14088</xdr:rowOff>
    </xdr:to>
    <xdr:pic>
      <xdr:nvPicPr>
        <xdr:cNvPr id="2" name="Imagem 1" descr="Logotipo, nome da empresa&#10;&#10;Descrição gerada automaticamente">
          <a:extLst>
            <a:ext uri="{FF2B5EF4-FFF2-40B4-BE49-F238E27FC236}">
              <a16:creationId xmlns:a16="http://schemas.microsoft.com/office/drawing/2014/main" id="{A39FE17F-6221-4FAB-87ED-4541D880E996}"/>
            </a:ext>
            <a:ext uri="{147F2762-F138-4A5C-976F-8EAC2B608ADB}">
              <a16:predDERef xmlns:a16="http://schemas.microsoft.com/office/drawing/2014/main" pred="{594B42B2-96B9-45DF-BAE7-14F2681855CF}"/>
            </a:ext>
          </a:extLst>
        </xdr:cNvPr>
        <xdr:cNvPicPr>
          <a:picLocks noChangeAspect="1"/>
        </xdr:cNvPicPr>
      </xdr:nvPicPr>
      <xdr:blipFill rotWithShape="1">
        <a:blip xmlns:r="http://schemas.openxmlformats.org/officeDocument/2006/relationships" r:embed="rId1"/>
        <a:srcRect b="10066"/>
        <a:stretch/>
      </xdr:blipFill>
      <xdr:spPr bwMode="auto">
        <a:xfrm>
          <a:off x="57150" y="47625"/>
          <a:ext cx="447675" cy="3474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aking1-my.sharepoint.com/personal/deise_russo_taking_com_br/Documents/BP%20-%20People%20Experience/GRUPO%20ELO%20PAR/BASE%20TAKERS%20-%20ELOPAR/Ativos%20e%20Desligados%2003.03.2026.xlsb" TargetMode="External"/><Relationship Id="rId1" Type="http://schemas.openxmlformats.org/officeDocument/2006/relationships/externalLinkPath" Target="https://taking1-my.sharepoint.com/personal/deise_russo_taking_com_br/Documents/BP%20-%20People%20Experience/GRUPO%20ELO%20PAR/BASE%20TAKERS%20-%20ELOPAR/Ativos%20e%20Desligados%2003.03.2026.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latrioTakersDeiseresultados"/>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Raquel Pereira da Silva" id="{764D99B8-5E7A-4B00-865B-2614F2343CE1}" userId="S::raquel.silva@taking.com.br::b56f1575-55d8-431c-ab3d-9b0d1ba89a50" providerId="AD"/>
  <person displayName="Jessica Lima Mendes" id="{4EE0C93D-1309-4395-AEF4-30D9BCAA4A18}" userId="S::jessica.mendes@taking.com.br::0dc29b92-f77e-433d-9f6b-db807d5d06ba" providerId="AD"/>
  <person displayName="Raphaella Lopes da Silva Souza" id="{4FE73FED-2014-4535-9D4B-98E90610F3E1}" userId="S::raphaella.lopes@taking.com.br::8a1cbdeb-feeb-447e-af6b-a5dd78aecd4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378B8D-C6F8-4F6F-841D-95EB61BD3110}" name="Tabela3" displayName="Tabela3" ref="A4:W19" totalsRowShown="0" headerRowDxfId="102" dataDxfId="101">
  <autoFilter ref="A4:W19" xr:uid="{C5378B8D-C6F8-4F6F-841D-95EB61BD3110}"/>
  <sortState xmlns:xlrd2="http://schemas.microsoft.com/office/spreadsheetml/2017/richdata2" ref="A5:W19">
    <sortCondition ref="B4:B19"/>
  </sortState>
  <tableColumns count="23">
    <tableColumn id="1" xr3:uid="{CC1111DA-BAA1-42A5-A689-7481BE350A14}" name="OS" dataDxfId="100"/>
    <tableColumn id="3" xr3:uid="{EAF8D730-916E-4755-8134-FB7E83536460}" name="PROFISSIONAL" dataDxfId="99"/>
    <tableColumn id="21" xr3:uid="{FF43081C-8F90-499E-9B7F-94DCDBC51AFB}" name="E-mail" dataDxfId="98"/>
    <tableColumn id="2" xr3:uid="{2E08631F-8CA0-4B8E-B8C8-23FFF8F716C5}" name="Gestor" dataDxfId="97"/>
    <tableColumn id="4" xr3:uid="{B8DAC701-369A-4FF4-8D06-139DA89D7DAC}" name="PERFIL" dataDxfId="96"/>
    <tableColumn id="23" xr3:uid="{7F70B90D-722C-4EB0-98D7-F371BFB431DD}" name="CARGO " dataDxfId="95"/>
    <tableColumn id="5" xr3:uid="{4EE2A837-BFAE-4B9D-A03B-F0A6C8C63586}" name="SENIORIDADE" dataDxfId="94"/>
    <tableColumn id="6" xr3:uid="{4C121CB8-E5AC-416C-966E-3760ADB93E7C}" name="STATUS" dataDxfId="93"/>
    <tableColumn id="7" xr3:uid="{0EFAE26C-0055-462A-A39D-0D0135CA17A9}" name="TIPO DE CONTRATAÇÃO" dataDxfId="92"/>
    <tableColumn id="8" xr3:uid="{FB8EC533-2CC5-40C7-AD81-FC5423B3B6A6}" name="DATA INÍCIO" dataDxfId="91"/>
    <tableColumn id="9" xr3:uid="{ADB1663D-3E5E-4E6B-996B-0597694F4CA5}" name="DATA DE SAÍDA" dataDxfId="90"/>
    <tableColumn id="10" xr3:uid="{CAD2F70B-04D5-4A9D-8F06-FFF57929C9EF}" name="VIGÊNCIA OS: INÍCIO" dataDxfId="89"/>
    <tableColumn id="11" xr3:uid="{C5FF0753-2402-460C-9C0A-11F75ACF7335}" name="VIGÊNCIA OS: DATA FIM" dataDxfId="88"/>
    <tableColumn id="12" xr3:uid="{ACB85AFA-C722-49AC-8C28-94AA456699A6}" name="PRAZO RENOVAÇÃO OS" dataDxfId="87">
      <calculatedColumnFormula>M5-TODAY()</calculatedColumnFormula>
    </tableColumn>
    <tableColumn id="13" xr3:uid="{D3D127D7-4F14-4B94-8BFA-19EFA83B6CB0}" name="VALOR CLT" dataDxfId="86">
      <calculatedColumnFormula>VLOOKUP(Tabela3[[#This Row],[PROFISSIONAL]],[1]RelatrioTakersDeiseresultados!$C$2:$G$264,5,0)</calculatedColumnFormula>
    </tableColumn>
    <tableColumn id="14" xr3:uid="{DEC397F4-04F2-430F-A3B7-4D758ED34745}" name="VALOR ESTRATÉGICO" dataDxfId="85"/>
    <tableColumn id="15" xr3:uid="{0FE5FDEA-7763-447F-A848-554CA57D7C02}" name="HORAS TRABALHADAS" dataDxfId="84"/>
    <tableColumn id="16" xr3:uid="{1F419410-0905-4C80-AAE9-FFE319EC5084}" name="R$ PAGAMENTO" dataDxfId="83"/>
    <tableColumn id="17" xr3:uid="{A04CF31A-FDE7-4BF0-9BCA-D31ACAD4AFDF}" name="OUTROS" dataDxfId="82"/>
    <tableColumn id="18" xr3:uid="{3AF9DCBE-2086-4E95-978D-01A394DF7066}" name="R$ TAXA FATURAMENTO" dataDxfId="81" dataCellStyle="Moeda 2"/>
    <tableColumn id="22" xr3:uid="{D8A0594D-89C7-48DB-8743-13F3715BDFF7}" name="Faturamento Renovação 2025" dataDxfId="80" dataCellStyle="Moeda 2"/>
    <tableColumn id="19" xr3:uid="{828457FC-8214-46FE-9862-0302BCDFFD76}" name="HORAS TRABALHADAS2" dataDxfId="79"/>
    <tableColumn id="20" xr3:uid="{F3D690EC-BF19-4943-9770-73C6788E726D}" name="VALOR TOTAL DE FATURAMENTO" dataDxfId="78" dataCellStyle="Moeda 2">
      <calculatedColumnFormula>Tabela3[[#This Row],[R$ TAXA FATURAMENTO]]*Tabela3[[#This Row],[HORAS TRABALHADAS2]]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0B382B-5C85-46D2-9989-2569EC09ECFE}" name="Tabela1" displayName="Tabela1" ref="B4:Y42" totalsRowShown="0" headerRowDxfId="77" dataDxfId="76" tableBorderDxfId="75">
  <autoFilter ref="B4:Y42" xr:uid="{F50B382B-5C85-46D2-9989-2569EC09ECFE}"/>
  <sortState xmlns:xlrd2="http://schemas.microsoft.com/office/spreadsheetml/2017/richdata2" ref="B5:Y42">
    <sortCondition ref="B4:B42"/>
  </sortState>
  <tableColumns count="24">
    <tableColumn id="3" xr3:uid="{C5D22FEC-80D0-454E-994B-38719143963A}" name="PROFISSIONAL" dataDxfId="74"/>
    <tableColumn id="1" xr3:uid="{F9576534-57B2-401A-86AF-5DE763551FDA}" name="Email" dataDxfId="73"/>
    <tableColumn id="2" xr3:uid="{7657CD10-43F8-49F3-BEA8-29C719A498EF}" name="Gestor" dataDxfId="72"/>
    <tableColumn id="25" xr3:uid="{61E0826A-E39E-41E5-BA38-D31EF8FBC995}" name="Contato " dataDxfId="71"/>
    <tableColumn id="22" xr3:uid="{F4C3AEE3-53C3-4499-AB95-F271C04793AF}" name="PERFIL FATURAMENTO" dataDxfId="70"/>
    <tableColumn id="15" xr3:uid="{918F6729-AC18-4C5C-85D2-01CFE871B824}" name="CARGO" dataDxfId="69"/>
    <tableColumn id="21" xr3:uid="{1631916D-A070-4AAE-9E2C-51E683A5C15C}" name="SENIORIDADE" dataDxfId="68"/>
    <tableColumn id="4" xr3:uid="{3DAD1C78-D294-4A31-9F75-35C2E83EA08F}" name="STATUS" dataDxfId="67"/>
    <tableColumn id="5" xr3:uid="{695E5BD0-5178-4F18-A551-5527004CBF90}" name="TIPO DE CONTRATAÇÃO" dataDxfId="66"/>
    <tableColumn id="6" xr3:uid="{B48221D3-D801-4469-905F-6988129DAAB3}" name="DATA INÍCIO" dataDxfId="65"/>
    <tableColumn id="7" xr3:uid="{472E2B99-90BE-4F9E-97DC-1C03CD2DD862}" name="DATA DE SAÍDA" dataDxfId="64"/>
    <tableColumn id="8" xr3:uid="{7A2D4A47-9BF6-426C-B5FB-D27211593327}" name="VIGÊNCIA OS: INÍCIO" dataDxfId="63"/>
    <tableColumn id="9" xr3:uid="{2A969DFD-03FF-4296-A53C-A7D8A4AD0CFB}" name="VIGÊNCIA OS: DATA FIM" dataDxfId="62"/>
    <tableColumn id="10" xr3:uid="{1C980259-2194-41A9-8A6A-2D1A10343A3B}" name="PRAZO RENOVAÇÃO OS" dataDxfId="61">
      <calculatedColumnFormula>N5-TODAY()</calculatedColumnFormula>
    </tableColumn>
    <tableColumn id="13" xr3:uid="{DE3A1C46-FFC8-4549-8CC5-2A5BBA8A13CB}" name="VALOR CLT" dataDxfId="60"/>
    <tableColumn id="12" xr3:uid="{D861ED09-8A61-47F9-9D32-5EA87E692F51}" name="CLT ESTRATÉGICO" dataDxfId="59"/>
    <tableColumn id="11" xr3:uid="{32A72EA6-C211-40EE-AAF7-77B30ECA1E7E}" name="HORAS TRABALHADAS" dataDxfId="58">
      <calculatedColumnFormula>Tabela1[[#This Row],[R$ PAGAMENTO]]-Tabela1[[#This Row],[VALOR CLT]]</calculatedColumnFormula>
    </tableColumn>
    <tableColumn id="14" xr3:uid="{1E7C018C-B8D7-46B4-98D5-EC000BD31EAD}" name="R$ PAGAMENTO" dataDxfId="57"/>
    <tableColumn id="17" xr3:uid="{2B2889A9-193E-4C30-BD53-D1AFC8105165}" name="OUTROS" dataDxfId="56"/>
    <tableColumn id="18" xr3:uid="{6E03EBE6-DC25-45A1-95DE-1BC552F7CC7A}" name="R$ TAXA FATURAMENTO" dataDxfId="55" dataCellStyle="Moeda 2" totalsRowCellStyle="Moeda 2"/>
    <tableColumn id="16" xr3:uid="{F50B7AC6-631D-491F-8812-4BD7111E5A15}" name="Faturamento Renovação 2025" dataDxfId="54" dataCellStyle="Moeda 2" totalsRowCellStyle="Moeda 2"/>
    <tableColumn id="19" xr3:uid="{25514450-FE64-4660-B89B-7F0DBDE97102}" name="HORAS TRABALHADAS2" dataDxfId="53"/>
    <tableColumn id="20" xr3:uid="{A8294793-0C19-455D-A13F-DEA276EB4EAE}" name="TOTAL FATURAMENTO" dataDxfId="52" dataCellStyle="Moeda 2" totalsRowCellStyle="Moeda 2">
      <calculatedColumnFormula>Tabela1[[#This Row],[R$ TAXA FATURAMENTO]]*Tabela1[[#This Row],[HORAS TRABALHADAS2]]</calculatedColumnFormula>
    </tableColumn>
    <tableColumn id="23" xr3:uid="{6B256E93-CA28-4CBA-9CB2-FFCF9DC16B18}" name="Coluna1" dataDxfId="51" totalsRowCellStyle="Moeda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431EB6-DCED-445A-883F-055C0D02ED68}" name="Tabela2" displayName="Tabela2" ref="A4:Y25" totalsRowShown="0" headerRowDxfId="50" dataDxfId="49">
  <autoFilter ref="A4:Y25" xr:uid="{86431EB6-DCED-445A-883F-055C0D02ED68}"/>
  <tableColumns count="25">
    <tableColumn id="1" xr3:uid="{AF8470E9-B8BE-4CDB-9B87-61A664CB56E4}" name="OS" dataDxfId="48"/>
    <tableColumn id="3" xr3:uid="{C46DEEB7-A204-4BBE-8C46-F25D05205580}" name="PROFISSIONAL" dataDxfId="47"/>
    <tableColumn id="22" xr3:uid="{57717414-DEF9-4B50-BDCF-5A6AE2D59E22}" name="E-mail" dataDxfId="46"/>
    <tableColumn id="2" xr3:uid="{580E8B60-FB5E-4378-95A8-C4D90318AC94}" name="Gestor" dataDxfId="45"/>
    <tableColumn id="4" xr3:uid="{5A3E0A8F-64D1-4F03-BF68-40A3F12262BF}" name="PERFIL FATURAMENTO" dataDxfId="44"/>
    <tableColumn id="24" xr3:uid="{EFD4F410-E3BB-49C9-BE81-A9F1C8682F40}" name="CARGO" dataDxfId="43"/>
    <tableColumn id="5" xr3:uid="{399C1B1D-A901-4BA2-AB70-1890C773AB35}" name="SENIORIDADE" dataDxfId="42"/>
    <tableColumn id="6" xr3:uid="{92AEEE1E-FF92-4DDD-BC13-F4E7E27E05AC}" name="STATUS" dataDxfId="41"/>
    <tableColumn id="7" xr3:uid="{6D15019E-E8E7-40B9-B12E-47C9BA326CAD}" name="TIPO DE CONTRATAÇÃO" dataDxfId="40"/>
    <tableColumn id="8" xr3:uid="{208F3088-4C7C-4735-BE0D-4E1C83159076}" name="DATA INÍCIO" dataDxfId="39"/>
    <tableColumn id="9" xr3:uid="{BE88FABF-E04A-43AC-99F3-234C6BE20C29}" name="DATA DE SAÍDA" dataDxfId="38"/>
    <tableColumn id="10" xr3:uid="{CD37C2BC-30B7-47DA-AA07-E85F9F43C18A}" name="VIGÊNCIA OS: INÍCIO" dataDxfId="37"/>
    <tableColumn id="11" xr3:uid="{E2AED8E8-54F8-41CE-8291-D1D83EECECF3}" name="VIGÊNCIA OS: DATA FIM" dataDxfId="36"/>
    <tableColumn id="21" xr3:uid="{7BEB11D8-6497-47B6-8A6C-F7A2AF0B15C2}" name="PRAZO RENOVAÇÃO OS" dataDxfId="35">
      <calculatedColumnFormula>M5-TODAY()</calculatedColumnFormula>
    </tableColumn>
    <tableColumn id="12" xr3:uid="{B7118B6E-FCBA-4C4C-A0BB-3C8902A2A543}" name="VALOR HORA" dataDxfId="34"/>
    <tableColumn id="13" xr3:uid="{99FD8045-39DB-4F7E-A9AE-E11427F4FAB7}" name="VALOR CLT" dataDxfId="33"/>
    <tableColumn id="14" xr3:uid="{B9FF151E-9874-4257-8598-8CCF816A5777}" name="VALOR ESTRATÉGICO" dataDxfId="32"/>
    <tableColumn id="15" xr3:uid="{44C3367A-6A2A-47BE-B0B8-63B7A9B8AB44}" name="HORAS TRABALHADAS" dataDxfId="31"/>
    <tableColumn id="16" xr3:uid="{1ACC3EC8-5A57-4FC5-A6A2-5D573ABBB0AA}" name="R$ VALOR DE PAGAMENTO" dataDxfId="30">
      <calculatedColumnFormula>Tabela2[[#This Row],[VALOR CLT]]*Tabela2[[#This Row],[HORAS TRABALHADAS]]</calculatedColumnFormula>
    </tableColumn>
    <tableColumn id="17" xr3:uid="{072C466F-9C48-49DB-921B-C7869A3501D1}" name="OUTROS" dataDxfId="29"/>
    <tableColumn id="18" xr3:uid="{BA4AFEE1-310E-412A-BE75-BFB3D6AC5B71}" name="R$TAXA FATURAMENTO" dataDxfId="28"/>
    <tableColumn id="23" xr3:uid="{9166F855-6106-4A0E-B0BB-D7E3CAAA9F49}" name="Faturamento Renovação 2025" dataDxfId="27"/>
    <tableColumn id="19" xr3:uid="{058B095E-2BC6-4803-956B-801E48196D5A}" name="HORAS TRABALHADAS2" dataDxfId="26"/>
    <tableColumn id="20" xr3:uid="{6A876028-337F-4801-A5E6-50537D71F30A}" name="VALOR TOTAL DE FATURAMENTO" dataDxfId="25">
      <calculatedColumnFormula>Tabela2[[#This Row],[Faturamento Renovação 2025]]*Tabela2[[#This Row],[HORAS TRABALHADAS2]]</calculatedColumnFormula>
    </tableColumn>
    <tableColumn id="25" xr3:uid="{E1B5BC42-6847-44B7-8322-DABB9E07DFD8}" name="Coluna1"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7A2490-76F6-4552-A508-3ACF6F393447}" name="Tabela4" displayName="Tabela4" ref="A4:W12" totalsRowShown="0" headerRowDxfId="23">
  <autoFilter ref="A4:W12" xr:uid="{827B45C9-6D70-4B95-A7E7-F02A44020928}"/>
  <tableColumns count="23">
    <tableColumn id="1" xr3:uid="{DE92BAE8-353A-4CA4-B804-16F33F5E1003}" name="OS" dataDxfId="22"/>
    <tableColumn id="2" xr3:uid="{449574D5-1123-4470-AC18-FE7826C26EC2}" name="PROFISSIONAL" dataDxfId="21"/>
    <tableColumn id="22" xr3:uid="{FE538A70-0B28-4DA5-89DF-DD4494193532}" name="E-mail" dataDxfId="20"/>
    <tableColumn id="21" xr3:uid="{40C4E0A6-5E4E-42D2-9F5F-24A53CF3ADD4}" name="Gestor" dataDxfId="19"/>
    <tableColumn id="3" xr3:uid="{177F87EE-CC99-4220-96F2-5EF114ACB52A}" name="PERFIL" dataDxfId="18"/>
    <tableColumn id="4" xr3:uid="{91C374EE-5163-4ED9-BB70-D28C72411B80}" name="SENIORIDADE" dataDxfId="17"/>
    <tableColumn id="5" xr3:uid="{24E34AE3-D212-42A6-8BA3-7DEBBA6B2DB2}" name="STATUS" dataDxfId="16"/>
    <tableColumn id="6" xr3:uid="{172DED66-6BE3-4698-919E-E775258F7598}" name="TIPO DE CONTRATAÇÃO" dataDxfId="15"/>
    <tableColumn id="7" xr3:uid="{B169A8AE-61A2-43A3-847C-7C1510ADBE4C}" name="DATA INÍCIO" dataDxfId="14"/>
    <tableColumn id="8" xr3:uid="{C263E94E-CEB8-497A-9D72-83817D0A5E1F}" name="DATA DE SAÍDA" dataDxfId="13"/>
    <tableColumn id="9" xr3:uid="{A6C699B8-0989-4F23-90D6-E819AD588EBF}" name="VIGÊNCIA OS: INÍCIO" dataDxfId="12"/>
    <tableColumn id="10" xr3:uid="{E25A1FDF-B4AB-4990-BC37-F33BDCF1E336}" name="VIGÊNCIA OS: DATA FIM" dataDxfId="11"/>
    <tableColumn id="11" xr3:uid="{42B9421D-9030-44D1-8737-DAD9725DCD22}" name="PRAZO RENOVAÇÃO OS" dataDxfId="10">
      <calculatedColumnFormula>L5-TODAY()</calculatedColumnFormula>
    </tableColumn>
    <tableColumn id="12" xr3:uid="{67063500-4033-4AD2-948D-58B10B1E2158}" name="VALOR HORA" dataDxfId="9"/>
    <tableColumn id="13" xr3:uid="{26DDFE57-8FDC-43C5-B2C6-0040562584FB}" name="VALOR CLT" dataDxfId="8"/>
    <tableColumn id="14" xr3:uid="{0B9FB0BB-AC49-4696-A585-36B67D41B6D1}" name="VALOR ESTRATÉGICO" dataDxfId="7"/>
    <tableColumn id="15" xr3:uid="{86D82129-69B5-4E96-B8FB-A40F403267C9}" name="HORAS TRABALHADAS" dataDxfId="6"/>
    <tableColumn id="16" xr3:uid="{8B5944E5-2A1A-42C2-A9C7-4C9FDA728862}" name="R$ VALOR DE PAGAMENTO" dataDxfId="5">
      <calculatedColumnFormula>SUM(Tabela4[[#This Row],[VALOR CLT]:[VALOR ESTRATÉGICO]])</calculatedColumnFormula>
    </tableColumn>
    <tableColumn id="17" xr3:uid="{E35BADC8-25E7-49D0-912B-3C22BE126287}" name="OUTROS" dataDxfId="4"/>
    <tableColumn id="18" xr3:uid="{25C35A99-2492-4411-9D9A-EDA0216D759B}" name="R$ TAXA FATURAMENTO" dataDxfId="3"/>
    <tableColumn id="23" xr3:uid="{30A5246A-E05F-4F54-BA81-161D98871901}" name="Faturamento 2026" dataDxfId="2"/>
    <tableColumn id="19" xr3:uid="{73BDD3AD-8857-444B-A434-34B62F31FC63}" name="HORAS TRABALHADAS2" dataDxfId="1"/>
    <tableColumn id="20" xr3:uid="{9D5F2B70-91EC-43D6-A948-98E95EE311E0}" name="VALOR TOTAL DE FATURAMENTO" dataDxfId="0">
      <calculatedColumnFormula>S5*V5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1" dT="2024-05-14T17:42:55.09" personId="{764D99B8-5E7A-4B00-865B-2614F2343CE1}" id="{CA577249-06E9-4C34-9692-20F37DCEC823}">
    <text>Noturno</text>
  </threadedComment>
  <threadedComment ref="F23" dT="2024-05-14T17:44:11.00" personId="{764D99B8-5E7A-4B00-865B-2614F2343CE1}" id="{9E1A86C7-B68F-4C3F-A541-AFFB6C33E232}">
    <text>Noturno</text>
  </threadedComment>
  <threadedComment ref="F30" dT="2024-05-17T18:59:37.00" personId="{764D99B8-5E7A-4B00-865B-2614F2343CE1}" id="{27E8BF09-7769-4970-907C-18947A905129}">
    <text xml:space="preserve">Contratação: Engenheiro - foco em desenvolvimento mobile </text>
  </threadedComment>
</ThreadedComments>
</file>

<file path=xl/threadedComments/threadedComment2.xml><?xml version="1.0" encoding="utf-8"?>
<ThreadedComments xmlns="http://schemas.microsoft.com/office/spreadsheetml/2018/threadedcomments" xmlns:x="http://schemas.openxmlformats.org/spreadsheetml/2006/main">
  <threadedComment ref="V24" dT="2025-11-12T14:36:38.68" personId="{4EE0C93D-1309-4395-AEF4-30D9BCAA4A18}" id="{CB4E42E5-23DF-43AF-A0EA-8902F0F56F39}">
    <text xml:space="preserve">Foi negociado com o cliente a redução de senioridade devido ao momento de falta de orçamento. </text>
  </threadedComment>
</ThreadedComments>
</file>

<file path=xl/threadedComments/threadedComment3.xml><?xml version="1.0" encoding="utf-8"?>
<ThreadedComments xmlns="http://schemas.microsoft.com/office/spreadsheetml/2018/threadedcomments" xmlns:x="http://schemas.openxmlformats.org/spreadsheetml/2006/main">
  <threadedComment ref="J9" dT="2024-04-22T13:20:39.83" personId="{764D99B8-5E7A-4B00-865B-2614F2343CE1}" id="{3D7B5A16-2573-44EA-BAD8-DF3CC2C93407}">
    <text>Valor fechado: R$ 10.000</text>
  </threadedComment>
  <threadedComment ref="J10" dT="2024-04-22T13:24:31.29" personId="{764D99B8-5E7A-4B00-865B-2614F2343CE1}" id="{CBC4EB25-39B1-4A4F-AA76-D1FBF132DD9D}">
    <text>ILATI - 2.588,72
DA - 5.811,28</text>
  </threadedComment>
  <threadedComment ref="J31" dT="2024-04-26T18:35:51.13" personId="{764D99B8-5E7A-4B00-865B-2614F2343CE1}" id="{3A66403A-6073-411F-A30A-99FDE2DB2950}">
    <text xml:space="preserve">CLT R$ 2,881.22 
ILATI R$ 9.118,78
ENGENHEIRO DE SISTEMAS III
</text>
  </threadedComment>
  <threadedComment ref="A92" dT="2024-06-13T12:59:13.87" personId="{4FE73FED-2014-4535-9D4B-98E90610F3E1}" id="{A6893FEC-107E-4258-81AE-2E96FABE316F}">
    <text>Antiga OS 38</text>
  </threadedComment>
  <threadedComment ref="A95" dT="2024-06-13T13:00:05.24" personId="{4FE73FED-2014-4535-9D4B-98E90610F3E1}" id="{25598C87-B5D5-4F79-B2B1-CB554CA4FD22}">
    <text>Antiga OS 38</text>
  </threadedComment>
  <threadedComment ref="S136" dT="2025-11-12T14:33:50.05" personId="{4EE0C93D-1309-4395-AEF4-30D9BCAA4A18}" id="{8027FFA5-1467-4611-9F2A-EE776AD40FD1}">
    <text>Durante minhas férias foi ajustado o perfil do profissional como redução de taxa na negociação da Veloe, passando para Desenvolvedor Front 
End Javascript Sênior R$ 152,86</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felipe.valneiros@taking.com.br%20/%20fferracini.taking@alelo.com.br" TargetMode="External"/><Relationship Id="rId13" Type="http://schemas.openxmlformats.org/officeDocument/2006/relationships/hyperlink" Target="mailto:smarco.taking@alelo.com.br" TargetMode="External"/><Relationship Id="rId18" Type="http://schemas.openxmlformats.org/officeDocument/2006/relationships/drawing" Target="../drawings/drawing1.xml"/><Relationship Id="rId3" Type="http://schemas.openxmlformats.org/officeDocument/2006/relationships/hyperlink" Target="mailto:amorais.taking@alelo.com.br" TargetMode="External"/><Relationship Id="rId21" Type="http://schemas.openxmlformats.org/officeDocument/2006/relationships/comments" Target="../comments1.xml"/><Relationship Id="rId7" Type="http://schemas.openxmlformats.org/officeDocument/2006/relationships/hyperlink" Target="mailto:chbugay.taking@alelo.com.br" TargetMode="External"/><Relationship Id="rId12" Type="http://schemas.openxmlformats.org/officeDocument/2006/relationships/hyperlink" Target="mailto:lfurquim.taking@alelo.com.br" TargetMode="External"/><Relationship Id="rId17" Type="http://schemas.openxmlformats.org/officeDocument/2006/relationships/hyperlink" Target="mailto:sidney.miyagui@taking.com.br" TargetMode="External"/><Relationship Id="rId2" Type="http://schemas.openxmlformats.org/officeDocument/2006/relationships/hyperlink" Target="mailto:bschwetter.taking@alelo.com.br" TargetMode="External"/><Relationship Id="rId16" Type="http://schemas.openxmlformats.org/officeDocument/2006/relationships/hyperlink" Target="mailto:adriano.moreira@taking.com.br" TargetMode="External"/><Relationship Id="rId20" Type="http://schemas.openxmlformats.org/officeDocument/2006/relationships/table" Target="../tables/table1.xml"/><Relationship Id="rId1" Type="http://schemas.openxmlformats.org/officeDocument/2006/relationships/hyperlink" Target="mailto:amelo.taking@alelo.com.br" TargetMode="External"/><Relationship Id="rId6" Type="http://schemas.openxmlformats.org/officeDocument/2006/relationships/hyperlink" Target="mailto:esantos.taking@alelo.com.br" TargetMode="External"/><Relationship Id="rId11" Type="http://schemas.openxmlformats.org/officeDocument/2006/relationships/hyperlink" Target="mailto:mcosta.taking@alelo.com.br" TargetMode="External"/><Relationship Id="rId5" Type="http://schemas.openxmlformats.org/officeDocument/2006/relationships/hyperlink" Target="mailto:calmeida.taking@alelo.com.br" TargetMode="External"/><Relationship Id="rId15" Type="http://schemas.openxmlformats.org/officeDocument/2006/relationships/hyperlink" Target="mailto:lbonfa.taking@alelo.com.br" TargetMode="External"/><Relationship Id="rId10" Type="http://schemas.openxmlformats.org/officeDocument/2006/relationships/hyperlink" Target="mailto:wbrito.taking@alelo.com.br" TargetMode="External"/><Relationship Id="rId19" Type="http://schemas.openxmlformats.org/officeDocument/2006/relationships/vmlDrawing" Target="../drawings/vmlDrawing1.vml"/><Relationship Id="rId4" Type="http://schemas.openxmlformats.org/officeDocument/2006/relationships/hyperlink" Target="mailto:egoncalves.taking@alelo.com.br" TargetMode="External"/><Relationship Id="rId9" Type="http://schemas.openxmlformats.org/officeDocument/2006/relationships/hyperlink" Target="mailto:lfurquim.taking@alelo.com.br" TargetMode="External"/><Relationship Id="rId14" Type="http://schemas.openxmlformats.org/officeDocument/2006/relationships/hyperlink" Target="mailto:kbalazshazi@alelo.com.br"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fnepomuceno.taking@livelo.com.br" TargetMode="External"/><Relationship Id="rId18" Type="http://schemas.openxmlformats.org/officeDocument/2006/relationships/hyperlink" Target="mailto:jorge.oney@taking.com.br" TargetMode="External"/><Relationship Id="rId26" Type="http://schemas.openxmlformats.org/officeDocument/2006/relationships/hyperlink" Target="mailto:acunha.taking@livelo.com.br" TargetMode="External"/><Relationship Id="rId39" Type="http://schemas.openxmlformats.org/officeDocument/2006/relationships/hyperlink" Target="mailto:gabriela.melo@livelo.com.br/%2031%209243-2519" TargetMode="External"/><Relationship Id="rId21" Type="http://schemas.openxmlformats.org/officeDocument/2006/relationships/hyperlink" Target="mailto:jmelo.taking@livelo.com.br%20/%20jose.melo@taking.com.br" TargetMode="External"/><Relationship Id="rId34" Type="http://schemas.openxmlformats.org/officeDocument/2006/relationships/hyperlink" Target="mailto:douglas.silva@livelo.com.br" TargetMode="External"/><Relationship Id="rId42" Type="http://schemas.openxmlformats.org/officeDocument/2006/relationships/hyperlink" Target="mailto:kbalazshazi@alelo.com.br/11%2093345-3659" TargetMode="External"/><Relationship Id="rId47" Type="http://schemas.openxmlformats.org/officeDocument/2006/relationships/hyperlink" Target="mailto:gloria.santos@livelo.com.br%20/%2011%2098058-0122" TargetMode="External"/><Relationship Id="rId50" Type="http://schemas.openxmlformats.org/officeDocument/2006/relationships/drawing" Target="../drawings/drawing2.xml"/><Relationship Id="rId7" Type="http://schemas.openxmlformats.org/officeDocument/2006/relationships/hyperlink" Target="mailto:dsantos.taking@livelo.com.br" TargetMode="External"/><Relationship Id="rId2" Type="http://schemas.openxmlformats.org/officeDocument/2006/relationships/hyperlink" Target="mailto:caio.moura@taking.com.br" TargetMode="External"/><Relationship Id="rId16" Type="http://schemas.openxmlformats.org/officeDocument/2006/relationships/hyperlink" Target="mailto:jesse.lima@taking.com.br" TargetMode="External"/><Relationship Id="rId29" Type="http://schemas.openxmlformats.org/officeDocument/2006/relationships/hyperlink" Target="mailto:victor.casagrande@taking.com.br" TargetMode="External"/><Relationship Id="rId11" Type="http://schemas.openxmlformats.org/officeDocument/2006/relationships/hyperlink" Target="mailto:carlos.ferreira@taking.com.br" TargetMode="External"/><Relationship Id="rId24" Type="http://schemas.openxmlformats.org/officeDocument/2006/relationships/hyperlink" Target="mailto:specinatti.taking@livelo.com.br" TargetMode="External"/><Relationship Id="rId32" Type="http://schemas.openxmlformats.org/officeDocument/2006/relationships/hyperlink" Target="mailto:esdras.faconi@livelo.com.br%20/%2011%2096180-7671" TargetMode="External"/><Relationship Id="rId37" Type="http://schemas.openxmlformats.org/officeDocument/2006/relationships/hyperlink" Target="mailto:esdras.faconi@livelo.com.br%20/%2011%2096180-7671" TargetMode="External"/><Relationship Id="rId40" Type="http://schemas.openxmlformats.org/officeDocument/2006/relationships/hyperlink" Target="mailto:julia.passamani@livelo.com.br" TargetMode="External"/><Relationship Id="rId45" Type="http://schemas.openxmlformats.org/officeDocument/2006/relationships/hyperlink" Target="mailto:gloria.santos@livelo.com.br%20/%2011%2098058-0122" TargetMode="External"/><Relationship Id="rId53" Type="http://schemas.openxmlformats.org/officeDocument/2006/relationships/comments" Target="../comments2.xml"/><Relationship Id="rId5" Type="http://schemas.openxmlformats.org/officeDocument/2006/relationships/hyperlink" Target="mailto:cicero.duarte@taking.com.br" TargetMode="External"/><Relationship Id="rId10" Type="http://schemas.openxmlformats.org/officeDocument/2006/relationships/hyperlink" Target="mailto:diogo.moura@taking.com.br" TargetMode="External"/><Relationship Id="rId19" Type="http://schemas.openxmlformats.org/officeDocument/2006/relationships/hyperlink" Target="mailto:kae.leal@taking.com.br" TargetMode="External"/><Relationship Id="rId31" Type="http://schemas.openxmlformats.org/officeDocument/2006/relationships/hyperlink" Target="mailto:vgomes.taking@livelo.com.br" TargetMode="External"/><Relationship Id="rId44" Type="http://schemas.openxmlformats.org/officeDocument/2006/relationships/hyperlink" Target="mailto:gloria.santos@livelo.com.br%20/%2011%2098058-0122" TargetMode="External"/><Relationship Id="rId52" Type="http://schemas.openxmlformats.org/officeDocument/2006/relationships/table" Target="../tables/table2.xml"/><Relationship Id="rId4" Type="http://schemas.openxmlformats.org/officeDocument/2006/relationships/hyperlink" Target="mailto:csalles.taking@livelo.com.br" TargetMode="External"/><Relationship Id="rId9" Type="http://schemas.openxmlformats.org/officeDocument/2006/relationships/hyperlink" Target="mailto:fabricio.oliveira@taking.com.br%20/%20foliveira.taking@livelo.com.br" TargetMode="External"/><Relationship Id="rId14" Type="http://schemas.openxmlformats.org/officeDocument/2006/relationships/hyperlink" Target="mailto:ioliveira.taking@livelo.com.br" TargetMode="External"/><Relationship Id="rId22" Type="http://schemas.openxmlformats.org/officeDocument/2006/relationships/hyperlink" Target="mailto:pedro.rodrigues@taking.com.br" TargetMode="External"/><Relationship Id="rId27" Type="http://schemas.openxmlformats.org/officeDocument/2006/relationships/hyperlink" Target="https://taking.bitrix24.com.br/crm/contact/details/86195/" TargetMode="External"/><Relationship Id="rId30" Type="http://schemas.openxmlformats.org/officeDocument/2006/relationships/hyperlink" Target="mailto:douglas.guedes@taking.com.br" TargetMode="External"/><Relationship Id="rId35" Type="http://schemas.openxmlformats.org/officeDocument/2006/relationships/hyperlink" Target="mailto:yves.galvao@livelo.com.br/matheus.ribeiro@livelo.com.br" TargetMode="External"/><Relationship Id="rId43" Type="http://schemas.openxmlformats.org/officeDocument/2006/relationships/hyperlink" Target="mailto:gloria.santos@livelo.com.br%20/%2011%2098058-0122" TargetMode="External"/><Relationship Id="rId48" Type="http://schemas.openxmlformats.org/officeDocument/2006/relationships/hyperlink" Target="mailto:gloria.santos@livelo.com.br%20/%2011%2098058-0122" TargetMode="External"/><Relationship Id="rId8" Type="http://schemas.openxmlformats.org/officeDocument/2006/relationships/hyperlink" Target="mailto:ejunior.taking@livelo.com.br" TargetMode="External"/><Relationship Id="rId51" Type="http://schemas.openxmlformats.org/officeDocument/2006/relationships/vmlDrawing" Target="../drawings/vmlDrawing2.vml"/><Relationship Id="rId3" Type="http://schemas.openxmlformats.org/officeDocument/2006/relationships/hyperlink" Target="mailto:billyfranklim.pereira@taking.com.br" TargetMode="External"/><Relationship Id="rId12" Type="http://schemas.openxmlformats.org/officeDocument/2006/relationships/hyperlink" Target="mailto:cesar.junior@taking.com.br" TargetMode="External"/><Relationship Id="rId17" Type="http://schemas.openxmlformats.org/officeDocument/2006/relationships/hyperlink" Target="mailto:marcos.rocha@taking.com.br" TargetMode="External"/><Relationship Id="rId25" Type="http://schemas.openxmlformats.org/officeDocument/2006/relationships/hyperlink" Target="mailto:guilherme.lopes@taking.com.br" TargetMode="External"/><Relationship Id="rId33" Type="http://schemas.openxmlformats.org/officeDocument/2006/relationships/hyperlink" Target="mailto:gabriel.chaves@livelo.com.br/%2011%2099424-0132" TargetMode="External"/><Relationship Id="rId38" Type="http://schemas.openxmlformats.org/officeDocument/2006/relationships/hyperlink" Target="mailto:gabriela.melo@livelo.com.br/%2031%209243-2519" TargetMode="External"/><Relationship Id="rId46" Type="http://schemas.openxmlformats.org/officeDocument/2006/relationships/hyperlink" Target="mailto:gloria.santos@livelo.com.br%20/%2011%2098058-0122" TargetMode="External"/><Relationship Id="rId20" Type="http://schemas.openxmlformats.org/officeDocument/2006/relationships/hyperlink" Target="mailto:jose.otavio@taking.com.br" TargetMode="External"/><Relationship Id="rId41" Type="http://schemas.openxmlformats.org/officeDocument/2006/relationships/hyperlink" Target="mailto:karinecassia@outlook.com" TargetMode="External"/><Relationship Id="rId54" Type="http://schemas.microsoft.com/office/2017/10/relationships/threadedComment" Target="../threadedComments/threadedComment1.xml"/><Relationship Id="rId1" Type="http://schemas.openxmlformats.org/officeDocument/2006/relationships/hyperlink" Target="mailto:ajuliao.taking@livelo.com.br%20/%20adryel.juliao@taking.com.br" TargetMode="External"/><Relationship Id="rId6" Type="http://schemas.openxmlformats.org/officeDocument/2006/relationships/hyperlink" Target="mailto:diego.rocha@taking.com.br" TargetMode="External"/><Relationship Id="rId15" Type="http://schemas.openxmlformats.org/officeDocument/2006/relationships/hyperlink" Target="mailto:hsuel.taking@livelo.com.br%20/%20henrique.suel@taking.com.br" TargetMode="External"/><Relationship Id="rId23" Type="http://schemas.openxmlformats.org/officeDocument/2006/relationships/hyperlink" Target="mailto:rafael.matos@taking.com.br" TargetMode="External"/><Relationship Id="rId28" Type="http://schemas.openxmlformats.org/officeDocument/2006/relationships/hyperlink" Target="mailto:magna.santos@taking.com.br" TargetMode="External"/><Relationship Id="rId36" Type="http://schemas.openxmlformats.org/officeDocument/2006/relationships/hyperlink" Target="mailto:esdras.faconi@livelo.com.br%20/%2011%2096180-7671" TargetMode="External"/><Relationship Id="rId49" Type="http://schemas.openxmlformats.org/officeDocument/2006/relationships/hyperlink" Target="mailto:gloria.santos@livelo.com.br%20/%2011%2098058-012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jaraujo.taking@veloe.com.br&#160;" TargetMode="External"/><Relationship Id="rId13" Type="http://schemas.openxmlformats.org/officeDocument/2006/relationships/hyperlink" Target="mailto:mpiva.taking@veloe.com.br&#160;" TargetMode="External"/><Relationship Id="rId18" Type="http://schemas.openxmlformats.org/officeDocument/2006/relationships/drawing" Target="../drawings/drawing3.xml"/><Relationship Id="rId3" Type="http://schemas.openxmlformats.org/officeDocument/2006/relationships/hyperlink" Target="mailto:Aabrante.taking@veloe.com.br" TargetMode="External"/><Relationship Id="rId21" Type="http://schemas.openxmlformats.org/officeDocument/2006/relationships/comments" Target="../comments3.xml"/><Relationship Id="rId7" Type="http://schemas.openxmlformats.org/officeDocument/2006/relationships/hyperlink" Target="mailto:hsantos.taking@veloe.com.br&#160;" TargetMode="External"/><Relationship Id="rId12" Type="http://schemas.openxmlformats.org/officeDocument/2006/relationships/hyperlink" Target="mailto:msilva.taking@veloe.com.br&#160;" TargetMode="External"/><Relationship Id="rId17" Type="http://schemas.openxmlformats.org/officeDocument/2006/relationships/hyperlink" Target="mailto:sfernandes.taking@veloe.com.br" TargetMode="External"/><Relationship Id="rId2" Type="http://schemas.openxmlformats.org/officeDocument/2006/relationships/hyperlink" Target="mailto:bsantos.taking@veloe.com.br" TargetMode="External"/><Relationship Id="rId16" Type="http://schemas.openxmlformats.org/officeDocument/2006/relationships/hyperlink" Target="mailto:rnakagawa.taking@veloe.com.br&#160;" TargetMode="External"/><Relationship Id="rId20" Type="http://schemas.openxmlformats.org/officeDocument/2006/relationships/table" Target="../tables/table3.xml"/><Relationship Id="rId1" Type="http://schemas.openxmlformats.org/officeDocument/2006/relationships/hyperlink" Target="mailto:dcerqueira.taking@veloe.com.br" TargetMode="External"/><Relationship Id="rId6" Type="http://schemas.openxmlformats.org/officeDocument/2006/relationships/hyperlink" Target="mailto:hhonda.taking@veloe.com.br" TargetMode="External"/><Relationship Id="rId11" Type="http://schemas.openxmlformats.org/officeDocument/2006/relationships/hyperlink" Target="mailto:ldzis.taking@veloe.com.br" TargetMode="External"/><Relationship Id="rId5" Type="http://schemas.openxmlformats.org/officeDocument/2006/relationships/hyperlink" Target="mailto:gsilva.taking@veloe.com.br" TargetMode="External"/><Relationship Id="rId15" Type="http://schemas.openxmlformats.org/officeDocument/2006/relationships/hyperlink" Target="mailto:rtilelli.taking@veloe.com.br" TargetMode="External"/><Relationship Id="rId10" Type="http://schemas.openxmlformats.org/officeDocument/2006/relationships/hyperlink" Target="mailto:ladams.taking@veloe.com.br" TargetMode="External"/><Relationship Id="rId19" Type="http://schemas.openxmlformats.org/officeDocument/2006/relationships/vmlDrawing" Target="../drawings/vmlDrawing3.vml"/><Relationship Id="rId4" Type="http://schemas.openxmlformats.org/officeDocument/2006/relationships/hyperlink" Target="mailto:ltuschinski.taking@veloe.com.br" TargetMode="External"/><Relationship Id="rId9" Type="http://schemas.openxmlformats.org/officeDocument/2006/relationships/hyperlink" Target="mailto:jcampos.taking@veloe.com.br&#160;" TargetMode="External"/><Relationship Id="rId14" Type="http://schemas.openxmlformats.org/officeDocument/2006/relationships/hyperlink" Target="mailto:ndavid.taking@veloe.com.br&#160;" TargetMode="External"/><Relationship Id="rId22"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mailto:rsantos.taking@pedepronto.com.br" TargetMode="External"/><Relationship Id="rId7" Type="http://schemas.openxmlformats.org/officeDocument/2006/relationships/drawing" Target="../drawings/drawing4.xml"/><Relationship Id="rId2" Type="http://schemas.openxmlformats.org/officeDocument/2006/relationships/hyperlink" Target="mailto:lsena.taking@pedepronto.com.br" TargetMode="External"/><Relationship Id="rId1" Type="http://schemas.openxmlformats.org/officeDocument/2006/relationships/hyperlink" Target="mailto:ralmeida.taking@pedepronto.com.br" TargetMode="External"/><Relationship Id="rId6" Type="http://schemas.openxmlformats.org/officeDocument/2006/relationships/hyperlink" Target="mailto:dbulhosa.taking@pedepronto.com.br" TargetMode="External"/><Relationship Id="rId5" Type="http://schemas.openxmlformats.org/officeDocument/2006/relationships/hyperlink" Target="mailto:rcampos.taking@pedepronto.com" TargetMode="External"/><Relationship Id="rId4" Type="http://schemas.openxmlformats.org/officeDocument/2006/relationships/hyperlink" Target="mailto:vpontes.taking@alelo.com.br"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mailto:kaio.lopes@taking.com.b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4761B-5A0F-43B1-90E3-181D96F7DA76}">
  <sheetPr>
    <tabColor theme="6" tint="0.59999389629810485"/>
  </sheetPr>
  <dimension ref="A1:AB22"/>
  <sheetViews>
    <sheetView zoomScaleNormal="100" workbookViewId="0">
      <selection activeCell="B7" sqref="B7"/>
    </sheetView>
  </sheetViews>
  <sheetFormatPr defaultColWidth="12.140625" defaultRowHeight="15"/>
  <cols>
    <col min="1" max="1" width="8.140625" bestFit="1" customWidth="1"/>
    <col min="2" max="2" width="32.85546875" bestFit="1" customWidth="1"/>
    <col min="3" max="4" width="32.85546875" customWidth="1"/>
    <col min="5" max="5" width="37.7109375" bestFit="1" customWidth="1"/>
    <col min="6" max="6" width="37.7109375" customWidth="1"/>
    <col min="7" max="7" width="14.140625" bestFit="1" customWidth="1"/>
    <col min="8" max="8" width="9.28515625" bestFit="1" customWidth="1"/>
    <col min="9" max="9" width="21.7109375" bestFit="1" customWidth="1"/>
    <col min="10" max="10" width="12.85546875" bestFit="1" customWidth="1"/>
    <col min="11" max="11" width="14.85546875" bestFit="1" customWidth="1"/>
    <col min="12" max="12" width="20" bestFit="1" customWidth="1"/>
    <col min="13" max="13" width="21.85546875" bestFit="1" customWidth="1"/>
    <col min="14" max="14" width="21.7109375" bestFit="1" customWidth="1"/>
    <col min="15" max="15" width="12" bestFit="1" customWidth="1"/>
    <col min="16" max="16" width="20" bestFit="1" customWidth="1"/>
    <col min="17" max="17" width="21" bestFit="1" customWidth="1"/>
    <col min="18" max="18" width="15.85546875" bestFit="1" customWidth="1"/>
    <col min="19" max="19" width="11.28515625" bestFit="1" customWidth="1"/>
    <col min="20" max="20" width="22.7109375" bestFit="1" customWidth="1"/>
    <col min="21" max="21" width="22.5703125" customWidth="1"/>
    <col min="22" max="22" width="21.85546875" bestFit="1" customWidth="1"/>
    <col min="23" max="23" width="28.85546875" bestFit="1" customWidth="1"/>
    <col min="27" max="27" width="13.42578125" bestFit="1" customWidth="1"/>
    <col min="28" max="28" width="14.5703125" bestFit="1" customWidth="1"/>
  </cols>
  <sheetData>
    <row r="1" spans="1:28" s="1" customFormat="1"/>
    <row r="2" spans="1:28" s="1" customFormat="1"/>
    <row r="3" spans="1:28">
      <c r="W3" s="63">
        <f>SUM(Tabela3[VALOR TOTAL DE FATURAMENTO])</f>
        <v>346644.48000000004</v>
      </c>
    </row>
    <row r="4" spans="1:28" s="2" customFormat="1">
      <c r="A4" s="267" t="s">
        <v>0</v>
      </c>
      <c r="B4" s="268" t="s">
        <v>1</v>
      </c>
      <c r="C4" s="268" t="s">
        <v>2</v>
      </c>
      <c r="D4" s="268" t="s">
        <v>3</v>
      </c>
      <c r="E4" s="267" t="s">
        <v>4</v>
      </c>
      <c r="F4" s="267" t="s">
        <v>5</v>
      </c>
      <c r="G4" s="267" t="s">
        <v>6</v>
      </c>
      <c r="H4" s="267" t="s">
        <v>7</v>
      </c>
      <c r="I4" s="267" t="s">
        <v>8</v>
      </c>
      <c r="J4" s="269" t="s">
        <v>9</v>
      </c>
      <c r="K4" s="269" t="s">
        <v>10</v>
      </c>
      <c r="L4" s="267" t="s">
        <v>11</v>
      </c>
      <c r="M4" s="267" t="s">
        <v>12</v>
      </c>
      <c r="N4" s="267" t="s">
        <v>13</v>
      </c>
      <c r="O4" s="267" t="s">
        <v>14</v>
      </c>
      <c r="P4" s="267" t="s">
        <v>15</v>
      </c>
      <c r="Q4" s="267" t="s">
        <v>16</v>
      </c>
      <c r="R4" s="267" t="s">
        <v>17</v>
      </c>
      <c r="S4" s="267" t="s">
        <v>18</v>
      </c>
      <c r="T4" s="270" t="s">
        <v>19</v>
      </c>
      <c r="U4" s="270" t="s">
        <v>20</v>
      </c>
      <c r="V4" s="267" t="s">
        <v>21</v>
      </c>
      <c r="W4" s="267" t="s">
        <v>22</v>
      </c>
    </row>
    <row r="5" spans="1:28" s="3" customFormat="1">
      <c r="A5" s="48">
        <v>177</v>
      </c>
      <c r="B5" s="271" t="s">
        <v>23</v>
      </c>
      <c r="C5" s="273" t="s">
        <v>24</v>
      </c>
      <c r="D5" s="272" t="s">
        <v>25</v>
      </c>
      <c r="E5" s="48" t="s">
        <v>26</v>
      </c>
      <c r="F5" s="272" t="s">
        <v>27</v>
      </c>
      <c r="G5" s="48" t="s">
        <v>28</v>
      </c>
      <c r="H5" s="22" t="s">
        <v>29</v>
      </c>
      <c r="I5" s="49" t="s">
        <v>30</v>
      </c>
      <c r="J5" s="50">
        <v>45231</v>
      </c>
      <c r="K5" s="51"/>
      <c r="L5" s="50">
        <v>46065</v>
      </c>
      <c r="M5" s="50">
        <v>46307</v>
      </c>
      <c r="N5" s="58">
        <f ca="1">M5-TODAY()</f>
        <v>193</v>
      </c>
      <c r="O5" s="52">
        <v>3063.79</v>
      </c>
      <c r="P5" s="52">
        <v>11189.45</v>
      </c>
      <c r="Q5" s="48">
        <v>168</v>
      </c>
      <c r="R5" s="52">
        <f>O5+P5+704</f>
        <v>14957.240000000002</v>
      </c>
      <c r="S5" s="52"/>
      <c r="T5" s="53">
        <v>119.6</v>
      </c>
      <c r="U5" s="53">
        <v>126.78</v>
      </c>
      <c r="V5" s="48">
        <v>168</v>
      </c>
      <c r="W5" s="53">
        <f>Tabela3[[#This Row],[Faturamento Renovação 2025]]*Tabela3[[#This Row],[HORAS TRABALHADAS2]]</f>
        <v>21299.040000000001</v>
      </c>
      <c r="AA5" s="300"/>
      <c r="AB5" s="300"/>
    </row>
    <row r="6" spans="1:28" s="3" customFormat="1">
      <c r="A6" s="48">
        <v>159</v>
      </c>
      <c r="B6" s="271" t="s">
        <v>31</v>
      </c>
      <c r="C6" s="274" t="s">
        <v>32</v>
      </c>
      <c r="D6" s="272" t="s">
        <v>33</v>
      </c>
      <c r="E6" s="48" t="s">
        <v>34</v>
      </c>
      <c r="F6" s="272" t="s">
        <v>35</v>
      </c>
      <c r="G6" s="48" t="s">
        <v>28</v>
      </c>
      <c r="H6" s="22" t="s">
        <v>29</v>
      </c>
      <c r="I6" s="49" t="s">
        <v>30</v>
      </c>
      <c r="J6" s="50">
        <v>43864</v>
      </c>
      <c r="K6" s="55"/>
      <c r="L6" s="50">
        <v>46023</v>
      </c>
      <c r="M6" s="50">
        <v>46234</v>
      </c>
      <c r="N6" s="58">
        <f ca="1">M6-TODAY()</f>
        <v>120</v>
      </c>
      <c r="O6" s="52">
        <v>3087.96</v>
      </c>
      <c r="P6" s="52">
        <v>12545.27</v>
      </c>
      <c r="Q6" s="48">
        <v>168</v>
      </c>
      <c r="R6" s="52">
        <f>O6+P6+704</f>
        <v>16337.23</v>
      </c>
      <c r="S6" s="52">
        <v>358.24</v>
      </c>
      <c r="T6" s="53">
        <v>168.43</v>
      </c>
      <c r="U6" s="53">
        <v>154.53</v>
      </c>
      <c r="V6" s="48">
        <v>168</v>
      </c>
      <c r="W6" s="53">
        <f>Tabela3[[#This Row],[Faturamento Renovação 2025]]*168</f>
        <v>25961.040000000001</v>
      </c>
    </row>
    <row r="7" spans="1:28" s="3" customFormat="1">
      <c r="A7" s="48">
        <v>158</v>
      </c>
      <c r="B7" s="271" t="s">
        <v>36</v>
      </c>
      <c r="C7" s="273" t="s">
        <v>37</v>
      </c>
      <c r="D7" s="272" t="s">
        <v>38</v>
      </c>
      <c r="E7" s="48" t="s">
        <v>39</v>
      </c>
      <c r="F7" s="272" t="s">
        <v>40</v>
      </c>
      <c r="G7" s="48" t="s">
        <v>28</v>
      </c>
      <c r="H7" s="22" t="s">
        <v>29</v>
      </c>
      <c r="I7" s="49" t="s">
        <v>30</v>
      </c>
      <c r="J7" s="54">
        <v>44417</v>
      </c>
      <c r="K7" s="51"/>
      <c r="L7" s="50">
        <v>46023</v>
      </c>
      <c r="M7" s="50">
        <v>46387</v>
      </c>
      <c r="N7" s="58">
        <f ca="1">M7-TODAY()</f>
        <v>273</v>
      </c>
      <c r="O7" s="52">
        <v>3240.93</v>
      </c>
      <c r="P7" s="52">
        <v>7426.4</v>
      </c>
      <c r="Q7" s="48">
        <v>168</v>
      </c>
      <c r="R7" s="52">
        <f t="shared" ref="R7:R14" si="0">O7+P7+704</f>
        <v>11371.33</v>
      </c>
      <c r="S7" s="52"/>
      <c r="T7" s="53">
        <v>133.22999999999999</v>
      </c>
      <c r="U7" s="53">
        <v>136.25</v>
      </c>
      <c r="V7" s="48">
        <v>168</v>
      </c>
      <c r="W7" s="53">
        <f>Tabela3[[#This Row],[Faturamento Renovação 2025]]*168</f>
        <v>22890</v>
      </c>
    </row>
    <row r="8" spans="1:28" s="3" customFormat="1">
      <c r="A8" s="48">
        <v>160</v>
      </c>
      <c r="B8" s="101" t="s">
        <v>41</v>
      </c>
      <c r="C8" s="273" t="s">
        <v>42</v>
      </c>
      <c r="D8" s="272" t="s">
        <v>33</v>
      </c>
      <c r="E8" s="48" t="s">
        <v>43</v>
      </c>
      <c r="F8" s="272" t="s">
        <v>44</v>
      </c>
      <c r="G8" s="48" t="s">
        <v>45</v>
      </c>
      <c r="H8" s="22" t="s">
        <v>29</v>
      </c>
      <c r="I8" s="49" t="s">
        <v>30</v>
      </c>
      <c r="J8" s="54">
        <v>44426</v>
      </c>
      <c r="K8" s="51"/>
      <c r="L8" s="50">
        <v>46023</v>
      </c>
      <c r="M8" s="50">
        <v>46112</v>
      </c>
      <c r="N8" s="58">
        <f ca="1">M8-TODAY()</f>
        <v>-2</v>
      </c>
      <c r="O8" s="52">
        <v>3116.28</v>
      </c>
      <c r="P8" s="52">
        <v>10104.42</v>
      </c>
      <c r="Q8" s="48">
        <v>168</v>
      </c>
      <c r="R8" s="52">
        <f t="shared" si="0"/>
        <v>13924.7</v>
      </c>
      <c r="S8" s="52">
        <v>1514.61</v>
      </c>
      <c r="T8" s="53">
        <v>130.35</v>
      </c>
      <c r="U8" s="53">
        <v>139.03</v>
      </c>
      <c r="V8" s="48">
        <v>168</v>
      </c>
      <c r="W8" s="53">
        <f>Tabela3[[#This Row],[R$ TAXA FATURAMENTO]]*Tabela3[[#This Row],[HORAS TRABALHADAS2]]</f>
        <v>21898.799999999999</v>
      </c>
    </row>
    <row r="9" spans="1:28" s="3" customFormat="1">
      <c r="A9" s="48">
        <v>56</v>
      </c>
      <c r="B9" s="271" t="s">
        <v>46</v>
      </c>
      <c r="C9" s="273" t="s">
        <v>47</v>
      </c>
      <c r="D9" s="272" t="s">
        <v>48</v>
      </c>
      <c r="E9" s="48" t="s">
        <v>49</v>
      </c>
      <c r="F9" s="272" t="s">
        <v>50</v>
      </c>
      <c r="G9" s="48" t="s">
        <v>28</v>
      </c>
      <c r="H9" s="22" t="s">
        <v>29</v>
      </c>
      <c r="I9" s="49" t="s">
        <v>30</v>
      </c>
      <c r="J9" s="54">
        <v>45628</v>
      </c>
      <c r="K9" s="51"/>
      <c r="L9" s="50">
        <v>45717</v>
      </c>
      <c r="M9" s="50">
        <v>46081</v>
      </c>
      <c r="N9" s="58">
        <f ca="1">M9-TODAY()</f>
        <v>-33</v>
      </c>
      <c r="O9" s="52">
        <v>3111.66</v>
      </c>
      <c r="P9" s="52">
        <v>9318.9699999999993</v>
      </c>
      <c r="Q9" s="48">
        <v>168</v>
      </c>
      <c r="R9" s="52">
        <f t="shared" si="0"/>
        <v>13134.63</v>
      </c>
      <c r="S9" s="52"/>
      <c r="T9" s="53">
        <v>145.79</v>
      </c>
      <c r="U9" s="53">
        <v>154.53</v>
      </c>
      <c r="V9" s="48">
        <v>168</v>
      </c>
      <c r="W9" s="53">
        <f>Tabela3[[#This Row],[R$ TAXA FATURAMENTO]]*Tabela3[[#This Row],[HORAS TRABALHADAS2]]</f>
        <v>24492.719999999998</v>
      </c>
      <c r="X9" s="3" t="s">
        <v>51</v>
      </c>
    </row>
    <row r="10" spans="1:28" s="3" customFormat="1">
      <c r="A10" s="48">
        <v>167</v>
      </c>
      <c r="B10" s="271" t="s">
        <v>52</v>
      </c>
      <c r="C10" s="273" t="s">
        <v>53</v>
      </c>
      <c r="D10" s="272" t="s">
        <v>54</v>
      </c>
      <c r="E10" s="48" t="s">
        <v>34</v>
      </c>
      <c r="F10" s="272" t="s">
        <v>50</v>
      </c>
      <c r="G10" s="48" t="s">
        <v>28</v>
      </c>
      <c r="H10" s="48" t="s">
        <v>29</v>
      </c>
      <c r="I10" s="49" t="s">
        <v>30</v>
      </c>
      <c r="J10" s="54">
        <v>45314</v>
      </c>
      <c r="K10" s="51"/>
      <c r="L10" s="50">
        <v>46023</v>
      </c>
      <c r="M10" s="50" t="s">
        <v>55</v>
      </c>
      <c r="N10" s="58">
        <v>264</v>
      </c>
      <c r="O10" s="52">
        <v>3031.86</v>
      </c>
      <c r="P10" s="52">
        <v>7245.15</v>
      </c>
      <c r="Q10" s="48">
        <v>168</v>
      </c>
      <c r="R10" s="52">
        <f t="shared" si="0"/>
        <v>10981.01</v>
      </c>
      <c r="S10" s="52"/>
      <c r="T10" s="53">
        <v>157.19999999999999</v>
      </c>
      <c r="U10" s="53">
        <v>154.53</v>
      </c>
      <c r="V10" s="48">
        <v>168</v>
      </c>
      <c r="W10" s="53">
        <f>Tabela3[[#This Row],[R$ TAXA FATURAMENTO]]*Tabela3[[#This Row],[HORAS TRABALHADAS2]]</f>
        <v>26409.599999999999</v>
      </c>
    </row>
    <row r="11" spans="1:28" s="3" customFormat="1">
      <c r="A11" s="48">
        <v>151</v>
      </c>
      <c r="B11" s="271" t="s">
        <v>56</v>
      </c>
      <c r="C11" s="273" t="s">
        <v>57</v>
      </c>
      <c r="D11" s="272" t="s">
        <v>58</v>
      </c>
      <c r="E11" s="48" t="s">
        <v>59</v>
      </c>
      <c r="F11" s="272" t="s">
        <v>60</v>
      </c>
      <c r="G11" s="48" t="s">
        <v>61</v>
      </c>
      <c r="H11" s="48" t="s">
        <v>29</v>
      </c>
      <c r="I11" s="49" t="s">
        <v>30</v>
      </c>
      <c r="J11" s="54">
        <v>45432</v>
      </c>
      <c r="K11" s="51"/>
      <c r="L11" s="50">
        <v>46020</v>
      </c>
      <c r="M11" s="50">
        <v>46384</v>
      </c>
      <c r="N11" s="58">
        <f t="shared" ref="N11:N19" ca="1" si="1">M11-TODAY()</f>
        <v>270</v>
      </c>
      <c r="O11" s="52">
        <v>3130.32</v>
      </c>
      <c r="P11" s="52">
        <v>11047.41</v>
      </c>
      <c r="Q11" s="48">
        <v>168</v>
      </c>
      <c r="R11" s="52">
        <f t="shared" si="0"/>
        <v>14881.73</v>
      </c>
      <c r="S11" s="52"/>
      <c r="T11" s="53">
        <v>160.93</v>
      </c>
      <c r="U11" s="53">
        <v>170.59</v>
      </c>
      <c r="V11" s="48">
        <v>168</v>
      </c>
      <c r="W11" s="53">
        <f>Tabela3[[#This Row],[R$ TAXA FATURAMENTO]]*Tabela3[[#This Row],[HORAS TRABALHADAS2]]</f>
        <v>27036.240000000002</v>
      </c>
    </row>
    <row r="12" spans="1:28" s="3" customFormat="1">
      <c r="A12" s="48">
        <v>152</v>
      </c>
      <c r="B12" s="271" t="s">
        <v>62</v>
      </c>
      <c r="C12" s="273" t="s">
        <v>63</v>
      </c>
      <c r="D12" s="272" t="s">
        <v>64</v>
      </c>
      <c r="E12" s="48" t="s">
        <v>59</v>
      </c>
      <c r="F12" s="272" t="s">
        <v>60</v>
      </c>
      <c r="G12" s="48" t="s">
        <v>61</v>
      </c>
      <c r="H12" s="48" t="s">
        <v>29</v>
      </c>
      <c r="I12" s="49" t="s">
        <v>30</v>
      </c>
      <c r="J12" s="54">
        <v>45432</v>
      </c>
      <c r="K12" s="51"/>
      <c r="L12" s="50">
        <v>46020</v>
      </c>
      <c r="M12" s="50">
        <v>46384</v>
      </c>
      <c r="N12" s="58">
        <f t="shared" ca="1" si="1"/>
        <v>270</v>
      </c>
      <c r="O12" s="52">
        <v>3255.53</v>
      </c>
      <c r="P12" s="52">
        <v>12401.71</v>
      </c>
      <c r="Q12" s="48">
        <v>168</v>
      </c>
      <c r="R12" s="52">
        <f t="shared" si="0"/>
        <v>16361.24</v>
      </c>
      <c r="S12" s="52"/>
      <c r="T12" s="53">
        <v>160.93</v>
      </c>
      <c r="U12" s="53">
        <v>170.59</v>
      </c>
      <c r="V12" s="48">
        <v>168</v>
      </c>
      <c r="W12" s="53">
        <f>Tabela3[[#This Row],[Faturamento Renovação 2025]]*Tabela3[[#This Row],[HORAS TRABALHADAS2]]</f>
        <v>28659.119999999999</v>
      </c>
    </row>
    <row r="13" spans="1:28" s="4" customFormat="1" ht="14.25" customHeight="1">
      <c r="A13" s="48">
        <v>83</v>
      </c>
      <c r="B13" s="271" t="s">
        <v>65</v>
      </c>
      <c r="C13" s="273" t="s">
        <v>66</v>
      </c>
      <c r="D13" s="272" t="s">
        <v>67</v>
      </c>
      <c r="E13" s="48" t="s">
        <v>68</v>
      </c>
      <c r="F13" s="272" t="s">
        <v>69</v>
      </c>
      <c r="G13" s="48" t="s">
        <v>70</v>
      </c>
      <c r="H13" s="56" t="s">
        <v>29</v>
      </c>
      <c r="I13" s="49" t="s">
        <v>30</v>
      </c>
      <c r="J13" s="54">
        <v>45803</v>
      </c>
      <c r="K13" s="51"/>
      <c r="L13" s="50">
        <v>45778</v>
      </c>
      <c r="M13" s="50">
        <v>46142</v>
      </c>
      <c r="N13" s="58">
        <f t="shared" ca="1" si="1"/>
        <v>28</v>
      </c>
      <c r="O13" s="52">
        <v>2500</v>
      </c>
      <c r="P13" s="52">
        <v>2687.91</v>
      </c>
      <c r="Q13" s="48">
        <v>168</v>
      </c>
      <c r="R13" s="52">
        <f t="shared" si="0"/>
        <v>5891.91</v>
      </c>
      <c r="S13" s="52"/>
      <c r="T13" s="53">
        <v>80.08</v>
      </c>
      <c r="U13" s="53">
        <v>84.88</v>
      </c>
      <c r="V13" s="48">
        <v>168</v>
      </c>
      <c r="W13" s="53">
        <f>Tabela3[[#This Row],[R$ TAXA FATURAMENTO]]*Tabela3[[#This Row],[HORAS TRABALHADAS2]]</f>
        <v>13453.44</v>
      </c>
    </row>
    <row r="14" spans="1:28" s="4" customFormat="1" ht="14.25" customHeight="1">
      <c r="A14" s="48">
        <v>84</v>
      </c>
      <c r="B14" s="271" t="s">
        <v>71</v>
      </c>
      <c r="C14" s="273" t="s">
        <v>72</v>
      </c>
      <c r="D14" s="272" t="s">
        <v>67</v>
      </c>
      <c r="E14" s="48" t="s">
        <v>73</v>
      </c>
      <c r="F14" s="272" t="s">
        <v>74</v>
      </c>
      <c r="G14" s="48" t="s">
        <v>28</v>
      </c>
      <c r="H14" s="22" t="s">
        <v>29</v>
      </c>
      <c r="I14" s="49" t="s">
        <v>30</v>
      </c>
      <c r="J14" s="54">
        <v>45831</v>
      </c>
      <c r="K14" s="51"/>
      <c r="L14" s="50">
        <v>45734</v>
      </c>
      <c r="M14" s="50">
        <v>46098</v>
      </c>
      <c r="N14" s="58">
        <f t="shared" ca="1" si="1"/>
        <v>-16</v>
      </c>
      <c r="O14" s="52">
        <v>2500</v>
      </c>
      <c r="P14" s="52">
        <v>3187.91</v>
      </c>
      <c r="Q14" s="48">
        <v>168</v>
      </c>
      <c r="R14" s="52">
        <f t="shared" si="0"/>
        <v>6391.91</v>
      </c>
      <c r="S14" s="52"/>
      <c r="T14" s="53">
        <v>66.150000000000006</v>
      </c>
      <c r="U14" s="53">
        <v>70.12</v>
      </c>
      <c r="V14" s="48">
        <v>168</v>
      </c>
      <c r="W14" s="53">
        <f>Tabela3[[#This Row],[Faturamento Renovação 2025]]*168</f>
        <v>11780.16</v>
      </c>
      <c r="X14" s="3" t="s">
        <v>51</v>
      </c>
    </row>
    <row r="15" spans="1:28" s="3" customFormat="1">
      <c r="A15" s="48">
        <v>153</v>
      </c>
      <c r="B15" s="271" t="s">
        <v>75</v>
      </c>
      <c r="C15" s="273" t="s">
        <v>66</v>
      </c>
      <c r="D15" s="272" t="s">
        <v>64</v>
      </c>
      <c r="E15" s="48" t="s">
        <v>76</v>
      </c>
      <c r="F15" s="272" t="s">
        <v>77</v>
      </c>
      <c r="G15" s="48" t="s">
        <v>28</v>
      </c>
      <c r="H15" s="56" t="s">
        <v>29</v>
      </c>
      <c r="I15" s="49" t="s">
        <v>30</v>
      </c>
      <c r="J15" s="54">
        <v>45519</v>
      </c>
      <c r="K15" s="51"/>
      <c r="L15" s="50">
        <v>46020</v>
      </c>
      <c r="M15" s="50">
        <v>46384</v>
      </c>
      <c r="N15" s="58">
        <f t="shared" ca="1" si="1"/>
        <v>270</v>
      </c>
      <c r="O15" s="52">
        <v>3081.07</v>
      </c>
      <c r="P15" s="52">
        <v>10321.43</v>
      </c>
      <c r="Q15" s="48">
        <v>168</v>
      </c>
      <c r="R15" s="52">
        <f t="shared" ref="R15:R21" si="2">O15+P15+704</f>
        <v>14106.5</v>
      </c>
      <c r="S15" s="52"/>
      <c r="T15" s="53">
        <v>144.21</v>
      </c>
      <c r="U15" s="53">
        <v>170.59</v>
      </c>
      <c r="V15" s="48">
        <v>168</v>
      </c>
      <c r="W15" s="61">
        <f>Tabela3[[#This Row],[Faturamento Renovação 2025]]*Tabela3[[#This Row],[HORAS TRABALHADAS2]]</f>
        <v>28659.119999999999</v>
      </c>
    </row>
    <row r="16" spans="1:28" s="3" customFormat="1">
      <c r="A16" s="48">
        <v>157</v>
      </c>
      <c r="B16" s="271" t="s">
        <v>78</v>
      </c>
      <c r="C16" s="273" t="s">
        <v>79</v>
      </c>
      <c r="D16" s="272" t="s">
        <v>80</v>
      </c>
      <c r="E16" s="48" t="s">
        <v>81</v>
      </c>
      <c r="F16" s="272" t="s">
        <v>82</v>
      </c>
      <c r="G16" s="48" t="s">
        <v>45</v>
      </c>
      <c r="H16" s="22" t="s">
        <v>29</v>
      </c>
      <c r="I16" s="49" t="s">
        <v>30</v>
      </c>
      <c r="J16" s="50">
        <v>44298</v>
      </c>
      <c r="K16" s="51"/>
      <c r="L16" s="50">
        <v>46023</v>
      </c>
      <c r="M16" s="50">
        <v>46295</v>
      </c>
      <c r="N16" s="58">
        <f t="shared" ca="1" si="1"/>
        <v>181</v>
      </c>
      <c r="O16" s="52">
        <v>3087.96</v>
      </c>
      <c r="P16" s="52">
        <v>8942.25</v>
      </c>
      <c r="Q16" s="48">
        <v>168</v>
      </c>
      <c r="R16" s="52">
        <f t="shared" si="2"/>
        <v>12734.21</v>
      </c>
      <c r="S16" s="101"/>
      <c r="T16" s="52">
        <v>128.54</v>
      </c>
      <c r="U16" s="52">
        <v>136.25</v>
      </c>
      <c r="V16" s="48">
        <v>168</v>
      </c>
      <c r="W16" s="64">
        <f>Tabela3[[#This Row],[Faturamento Renovação 2025]]*Tabela3[[#This Row],[HORAS TRABALHADAS2]]</f>
        <v>22890</v>
      </c>
    </row>
    <row r="17" spans="1:24" s="3" customFormat="1">
      <c r="A17" s="48">
        <v>56</v>
      </c>
      <c r="B17" s="271" t="s">
        <v>83</v>
      </c>
      <c r="C17" s="274" t="s">
        <v>84</v>
      </c>
      <c r="D17" s="272" t="s">
        <v>85</v>
      </c>
      <c r="E17" s="48" t="s">
        <v>86</v>
      </c>
      <c r="F17" s="272" t="s">
        <v>35</v>
      </c>
      <c r="G17" s="48" t="s">
        <v>45</v>
      </c>
      <c r="H17" s="22" t="s">
        <v>29</v>
      </c>
      <c r="I17" s="49" t="s">
        <v>30</v>
      </c>
      <c r="J17" s="54">
        <v>44571</v>
      </c>
      <c r="K17" s="51"/>
      <c r="L17" s="50">
        <v>45383</v>
      </c>
      <c r="M17" s="50">
        <v>46112</v>
      </c>
      <c r="N17" s="58">
        <f t="shared" ca="1" si="1"/>
        <v>-2</v>
      </c>
      <c r="O17" s="52">
        <v>3087.96</v>
      </c>
      <c r="P17" s="52">
        <v>6531.27</v>
      </c>
      <c r="Q17" s="48">
        <v>168</v>
      </c>
      <c r="R17" s="52">
        <f t="shared" si="2"/>
        <v>10323.23</v>
      </c>
      <c r="S17" s="52">
        <v>313.24</v>
      </c>
      <c r="T17" s="53">
        <v>133.22999999999999</v>
      </c>
      <c r="U17" s="53">
        <v>139.03</v>
      </c>
      <c r="V17" s="48">
        <v>168</v>
      </c>
      <c r="W17" s="53">
        <f>Tabela3[[#This Row],[R$ TAXA FATURAMENTO]]*Tabela3[[#This Row],[HORAS TRABALHADAS2]]</f>
        <v>22382.639999999999</v>
      </c>
      <c r="X17" s="3" t="s">
        <v>51</v>
      </c>
    </row>
    <row r="18" spans="1:24" s="3" customFormat="1">
      <c r="A18" s="48">
        <v>156</v>
      </c>
      <c r="B18" s="101" t="s">
        <v>87</v>
      </c>
      <c r="C18" s="273" t="s">
        <v>88</v>
      </c>
      <c r="D18" s="272" t="s">
        <v>89</v>
      </c>
      <c r="E18" s="48" t="s">
        <v>90</v>
      </c>
      <c r="F18" s="272" t="s">
        <v>91</v>
      </c>
      <c r="G18" s="48" t="s">
        <v>61</v>
      </c>
      <c r="H18" s="22" t="s">
        <v>29</v>
      </c>
      <c r="I18" s="49" t="s">
        <v>30</v>
      </c>
      <c r="J18" s="54">
        <v>45495</v>
      </c>
      <c r="K18" s="51"/>
      <c r="L18" s="50">
        <v>46020</v>
      </c>
      <c r="M18" s="50">
        <v>46384</v>
      </c>
      <c r="N18" s="58">
        <f t="shared" ca="1" si="1"/>
        <v>270</v>
      </c>
      <c r="O18" s="52">
        <v>3106.11</v>
      </c>
      <c r="P18" s="52">
        <v>9218.16</v>
      </c>
      <c r="Q18" s="48">
        <v>168</v>
      </c>
      <c r="R18" s="52">
        <f t="shared" si="2"/>
        <v>13028.27</v>
      </c>
      <c r="S18" s="52"/>
      <c r="T18" s="53">
        <v>136.24</v>
      </c>
      <c r="U18" s="53">
        <v>144.41</v>
      </c>
      <c r="V18" s="48">
        <v>168</v>
      </c>
      <c r="W18" s="53">
        <f>Tabela3[[#This Row],[R$ TAXA FATURAMENTO]]*Tabela3[[#This Row],[HORAS TRABALHADAS2]]</f>
        <v>22888.32</v>
      </c>
    </row>
    <row r="19" spans="1:24" s="3" customFormat="1">
      <c r="A19" s="48">
        <v>163</v>
      </c>
      <c r="B19" s="101" t="s">
        <v>92</v>
      </c>
      <c r="C19" s="273" t="s">
        <v>93</v>
      </c>
      <c r="D19" s="272" t="s">
        <v>94</v>
      </c>
      <c r="E19" s="48" t="s">
        <v>34</v>
      </c>
      <c r="F19" s="272" t="s">
        <v>35</v>
      </c>
      <c r="G19" s="48" t="s">
        <v>28</v>
      </c>
      <c r="H19" s="22" t="s">
        <v>29</v>
      </c>
      <c r="I19" s="49" t="s">
        <v>30</v>
      </c>
      <c r="J19" s="54">
        <v>43802</v>
      </c>
      <c r="K19" s="51"/>
      <c r="L19" s="50">
        <v>46023</v>
      </c>
      <c r="M19" s="50">
        <v>46295</v>
      </c>
      <c r="N19" s="58">
        <f t="shared" ca="1" si="1"/>
        <v>181</v>
      </c>
      <c r="O19" s="52">
        <v>3211.48</v>
      </c>
      <c r="P19" s="52">
        <v>14096.73</v>
      </c>
      <c r="Q19" s="48">
        <v>168</v>
      </c>
      <c r="R19" s="52">
        <f t="shared" si="2"/>
        <v>18012.21</v>
      </c>
      <c r="S19" s="52">
        <v>257.76</v>
      </c>
      <c r="T19" s="53">
        <v>140.36000000000001</v>
      </c>
      <c r="U19" s="53">
        <v>154.43</v>
      </c>
      <c r="V19" s="48">
        <v>168</v>
      </c>
      <c r="W19" s="53">
        <f>Tabela3[[#This Row],[Faturamento Renovação 2025]]*168</f>
        <v>25944.240000000002</v>
      </c>
    </row>
    <row r="20" spans="1:24" s="3" customFormat="1">
      <c r="A20" s="48">
        <v>103</v>
      </c>
      <c r="B20" s="101" t="s">
        <v>95</v>
      </c>
      <c r="C20" s="273" t="s">
        <v>96</v>
      </c>
      <c r="D20" s="272" t="s">
        <v>97</v>
      </c>
      <c r="E20" s="48" t="s">
        <v>98</v>
      </c>
      <c r="F20" s="272" t="s">
        <v>99</v>
      </c>
      <c r="G20" s="48" t="s">
        <v>61</v>
      </c>
      <c r="H20" s="22" t="s">
        <v>100</v>
      </c>
      <c r="I20" s="49" t="s">
        <v>101</v>
      </c>
      <c r="J20" s="54">
        <v>45908</v>
      </c>
      <c r="K20" s="51"/>
      <c r="L20" s="50">
        <v>45908</v>
      </c>
      <c r="M20" s="50">
        <v>46272</v>
      </c>
      <c r="N20" s="58">
        <f t="shared" ref="N20" ca="1" si="3">M20-TODAY()</f>
        <v>158</v>
      </c>
      <c r="O20" s="52">
        <v>4953.9799999999996</v>
      </c>
      <c r="P20" s="52">
        <v>10747.2</v>
      </c>
      <c r="Q20" s="48">
        <v>168</v>
      </c>
      <c r="R20" s="52">
        <f t="shared" si="2"/>
        <v>16405.18</v>
      </c>
      <c r="S20" s="52"/>
      <c r="T20" s="53"/>
      <c r="U20" s="53">
        <v>184.97</v>
      </c>
      <c r="V20" s="48">
        <v>196.06</v>
      </c>
      <c r="W20" s="53">
        <f>V20*U20</f>
        <v>36265.218200000003</v>
      </c>
    </row>
    <row r="21" spans="1:24" s="3" customFormat="1">
      <c r="A21" s="48">
        <v>73</v>
      </c>
      <c r="B21" s="101" t="s">
        <v>102</v>
      </c>
      <c r="C21" s="273" t="s">
        <v>103</v>
      </c>
      <c r="D21" s="272" t="s">
        <v>104</v>
      </c>
      <c r="E21" s="48" t="s">
        <v>105</v>
      </c>
      <c r="F21" s="272" t="s">
        <v>105</v>
      </c>
      <c r="G21" s="48" t="s">
        <v>28</v>
      </c>
      <c r="H21" s="22" t="s">
        <v>29</v>
      </c>
      <c r="I21" s="49" t="s">
        <v>101</v>
      </c>
      <c r="J21" s="54">
        <v>45754</v>
      </c>
      <c r="K21" s="51"/>
      <c r="L21" s="50">
        <v>45794</v>
      </c>
      <c r="M21" s="50">
        <v>46158</v>
      </c>
      <c r="N21" s="58">
        <f ca="1">M21-TODAY()</f>
        <v>44</v>
      </c>
      <c r="O21" s="52">
        <v>2748.74</v>
      </c>
      <c r="P21" s="52">
        <v>13651.32</v>
      </c>
      <c r="Q21" s="48">
        <v>168</v>
      </c>
      <c r="R21" s="52">
        <f t="shared" si="2"/>
        <v>17104.059999999998</v>
      </c>
      <c r="S21" s="52"/>
      <c r="T21" s="53">
        <v>169.29</v>
      </c>
      <c r="U21" s="53"/>
      <c r="V21" s="48">
        <v>168</v>
      </c>
      <c r="W21" s="53">
        <v>28440.719999999998</v>
      </c>
    </row>
    <row r="22" spans="1:24" ht="17.25">
      <c r="B22" s="67">
        <v>17</v>
      </c>
      <c r="C22" s="67"/>
      <c r="D22" s="67"/>
    </row>
  </sheetData>
  <phoneticPr fontId="35" type="noConversion"/>
  <conditionalFormatting sqref="N5:N15 N17:N21">
    <cfRule type="iconSet" priority="61">
      <iconSet iconSet="3Symbols">
        <cfvo type="percent" val="0"/>
        <cfvo type="num" val="30"/>
        <cfvo type="num" val="60"/>
      </iconSet>
    </cfRule>
  </conditionalFormatting>
  <conditionalFormatting sqref="N16">
    <cfRule type="iconSet" priority="4">
      <iconSet iconSet="3Symbols">
        <cfvo type="percent" val="0"/>
        <cfvo type="num" val="30"/>
        <cfvo type="num" val="60"/>
      </iconSet>
    </cfRule>
  </conditionalFormatting>
  <hyperlinks>
    <hyperlink ref="C5" r:id="rId1" xr:uid="{239CB6EB-6999-484E-8B82-519B851FF793}"/>
    <hyperlink ref="C7" r:id="rId2" xr:uid="{50A7FCBA-728B-4D9C-BED1-DCE01232CE25}"/>
    <hyperlink ref="C6" r:id="rId3" xr:uid="{4E9B3352-CEB8-41F7-BB38-25F1274BD86D}"/>
    <hyperlink ref="C11" r:id="rId4" xr:uid="{F84EA1A3-654E-450F-8868-241CABDE43B8}"/>
    <hyperlink ref="C8" r:id="rId5" xr:uid="{DD9502D4-88F3-4108-A0AF-E8436042C5D9}"/>
    <hyperlink ref="C10" r:id="rId6" xr:uid="{AD5A81A5-A1F3-4645-B52E-9384F2A6EFAC}"/>
    <hyperlink ref="C9" r:id="rId7" xr:uid="{B093CD8F-4BE9-4A38-8BA7-A43A498E0EAE}"/>
    <hyperlink ref="C12" r:id="rId8" xr:uid="{9D88630E-7EF9-4F37-91E7-8FAD8908474A}"/>
    <hyperlink ref="C13" r:id="rId9" xr:uid="{3A4D1DC4-A439-477D-A8A9-7016A802BD3B}"/>
    <hyperlink ref="C19" r:id="rId10" xr:uid="{630D3F8C-A3DE-45D4-A3AB-AF947AA383AA}"/>
    <hyperlink ref="C17" r:id="rId11" xr:uid="{A95C5B4C-FD0E-4E1E-9A3C-57557055F2A3}"/>
    <hyperlink ref="C15" r:id="rId12" xr:uid="{6CAD34C6-30EE-4F6D-A33D-3DB0CD570ABC}"/>
    <hyperlink ref="C18" r:id="rId13" xr:uid="{71E17665-75EC-464B-A1CD-CD480173AE7D}"/>
    <hyperlink ref="C14" r:id="rId14" xr:uid="{4C9077E3-6A61-48DD-9705-E5DCBCF586A8}"/>
    <hyperlink ref="C16" r:id="rId15" xr:uid="{D0B05544-2BB8-4B14-927A-DBF898D3A445}"/>
    <hyperlink ref="C20" r:id="rId16" xr:uid="{1C1EC2E9-2D12-4AC2-9EC1-48D598E0864B}"/>
    <hyperlink ref="C21" r:id="rId17" xr:uid="{E0145CF2-7808-42B2-8B33-D298D916644D}"/>
  </hyperlinks>
  <pageMargins left="0.511811024" right="0.511811024" top="0.78740157499999996" bottom="0.78740157499999996" header="0.31496062000000002" footer="0.31496062000000002"/>
  <ignoredErrors>
    <ignoredError sqref="O5:O20 O21" calculatedColumn="1"/>
  </ignoredErrors>
  <drawing r:id="rId18"/>
  <legacyDrawing r:id="rId19"/>
  <tableParts count="1">
    <tablePart r:id="rId2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6BABA-EBB3-4427-9E43-CCD2C134D58C}">
  <sheetPr>
    <tabColor rgb="FFFF99FF"/>
  </sheetPr>
  <dimension ref="A1:AA49"/>
  <sheetViews>
    <sheetView zoomScaleNormal="100" workbookViewId="0">
      <selection activeCell="E27" sqref="E27"/>
    </sheetView>
  </sheetViews>
  <sheetFormatPr defaultColWidth="12.85546875" defaultRowHeight="15" customHeight="1"/>
  <cols>
    <col min="1" max="1" width="7.5703125" customWidth="1"/>
    <col min="2" max="2" width="41.7109375" style="75" customWidth="1"/>
    <col min="3" max="3" width="38.140625" customWidth="1"/>
    <col min="4" max="5" width="38.42578125" customWidth="1"/>
    <col min="6" max="6" width="35.140625" customWidth="1"/>
    <col min="7" max="7" width="37.140625" customWidth="1"/>
    <col min="8" max="8" width="16.42578125" customWidth="1"/>
    <col min="9" max="9" width="11.42578125" customWidth="1"/>
    <col min="10" max="10" width="24" customWidth="1"/>
    <col min="11" max="11" width="15.140625" customWidth="1"/>
    <col min="12" max="12" width="17" customWidth="1"/>
    <col min="13" max="13" width="22" bestFit="1" customWidth="1"/>
    <col min="14" max="14" width="23.85546875" bestFit="1" customWidth="1"/>
    <col min="15" max="15" width="23.7109375" bestFit="1" customWidth="1"/>
    <col min="16" max="16" width="13.85546875" bestFit="1" customWidth="1"/>
    <col min="17" max="17" width="19.7109375" bestFit="1" customWidth="1"/>
    <col min="18" max="18" width="22.5703125" bestFit="1" customWidth="1"/>
    <col min="19" max="19" width="17.85546875" bestFit="1" customWidth="1"/>
    <col min="20" max="20" width="12.140625" bestFit="1" customWidth="1"/>
    <col min="21" max="21" width="18.85546875" customWidth="1"/>
    <col min="22" max="22" width="26.5703125" bestFit="1" customWidth="1"/>
    <col min="23" max="23" width="23.140625" bestFit="1" customWidth="1"/>
    <col min="24" max="24" width="21.28515625" customWidth="1"/>
  </cols>
  <sheetData>
    <row r="1" spans="1:25" s="1" customFormat="1">
      <c r="B1" s="74"/>
    </row>
    <row r="2" spans="1:25" s="1" customFormat="1">
      <c r="B2" s="74"/>
    </row>
    <row r="3" spans="1:25">
      <c r="X3" s="59">
        <f>SUMPRODUCT(Tabela1[TOTAL FATURAMENTO])</f>
        <v>786150.95999999973</v>
      </c>
    </row>
    <row r="4" spans="1:25" s="2" customFormat="1">
      <c r="A4" s="276" t="s">
        <v>0</v>
      </c>
      <c r="B4" s="276" t="s">
        <v>1</v>
      </c>
      <c r="C4" s="6" t="s">
        <v>106</v>
      </c>
      <c r="D4" s="6" t="s">
        <v>3</v>
      </c>
      <c r="E4" s="6" t="s">
        <v>107</v>
      </c>
      <c r="F4" s="6" t="s">
        <v>108</v>
      </c>
      <c r="G4" s="6" t="s">
        <v>109</v>
      </c>
      <c r="H4" s="6" t="s">
        <v>6</v>
      </c>
      <c r="I4" s="6" t="s">
        <v>7</v>
      </c>
      <c r="J4" s="60" t="s">
        <v>8</v>
      </c>
      <c r="K4" s="277" t="s">
        <v>9</v>
      </c>
      <c r="L4" s="277" t="s">
        <v>10</v>
      </c>
      <c r="M4" s="60" t="s">
        <v>11</v>
      </c>
      <c r="N4" s="60" t="s">
        <v>12</v>
      </c>
      <c r="O4" s="60" t="s">
        <v>13</v>
      </c>
      <c r="P4" s="6" t="s">
        <v>14</v>
      </c>
      <c r="Q4" s="6" t="s">
        <v>101</v>
      </c>
      <c r="R4" s="6" t="s">
        <v>16</v>
      </c>
      <c r="S4" s="6" t="s">
        <v>17</v>
      </c>
      <c r="T4" s="6" t="s">
        <v>18</v>
      </c>
      <c r="U4" s="278" t="s">
        <v>19</v>
      </c>
      <c r="V4" s="278" t="s">
        <v>20</v>
      </c>
      <c r="W4" s="6" t="s">
        <v>21</v>
      </c>
      <c r="X4" s="279" t="s">
        <v>110</v>
      </c>
      <c r="Y4" s="6" t="s">
        <v>111</v>
      </c>
    </row>
    <row r="5" spans="1:25">
      <c r="A5" s="280">
        <v>115</v>
      </c>
      <c r="B5" s="101" t="s">
        <v>112</v>
      </c>
      <c r="C5" s="275" t="s">
        <v>113</v>
      </c>
      <c r="D5" s="101" t="s">
        <v>114</v>
      </c>
      <c r="E5" s="330" t="s">
        <v>115</v>
      </c>
      <c r="F5" s="280" t="s">
        <v>116</v>
      </c>
      <c r="G5" s="286" t="s">
        <v>117</v>
      </c>
      <c r="H5" s="11" t="s">
        <v>28</v>
      </c>
      <c r="I5" s="281" t="s">
        <v>29</v>
      </c>
      <c r="J5" s="12" t="s">
        <v>101</v>
      </c>
      <c r="K5" s="13">
        <v>45525</v>
      </c>
      <c r="L5" s="14"/>
      <c r="M5" s="15">
        <v>45923</v>
      </c>
      <c r="N5" s="15">
        <v>46288</v>
      </c>
      <c r="O5" s="58">
        <f ca="1">N5-TODAY()</f>
        <v>174</v>
      </c>
      <c r="P5" s="282">
        <v>3044.11</v>
      </c>
      <c r="Q5" s="282">
        <v>12282.86</v>
      </c>
      <c r="R5" s="16">
        <v>168</v>
      </c>
      <c r="S5" s="52">
        <f>P5+Q5+704</f>
        <v>16030.970000000001</v>
      </c>
      <c r="T5" s="36"/>
      <c r="U5" s="17">
        <v>145.79</v>
      </c>
      <c r="V5" s="99">
        <v>156.93</v>
      </c>
      <c r="W5" s="18">
        <v>168</v>
      </c>
      <c r="X5" s="17">
        <f>Tabela1[[#This Row],[R$ TAXA FATURAMENTO]]*Tabela1[[#This Row],[HORAS TRABALHADAS2]]</f>
        <v>24492.719999999998</v>
      </c>
      <c r="Y5" s="301"/>
    </row>
    <row r="6" spans="1:25">
      <c r="A6" s="280">
        <v>140</v>
      </c>
      <c r="B6" s="347" t="s">
        <v>118</v>
      </c>
      <c r="C6" s="287" t="s">
        <v>119</v>
      </c>
      <c r="D6" s="101" t="s">
        <v>120</v>
      </c>
      <c r="E6" s="330" t="s">
        <v>121</v>
      </c>
      <c r="F6" s="280" t="s">
        <v>122</v>
      </c>
      <c r="G6" s="286" t="s">
        <v>123</v>
      </c>
      <c r="H6" s="11" t="s">
        <v>45</v>
      </c>
      <c r="I6" s="281" t="s">
        <v>29</v>
      </c>
      <c r="J6" s="12" t="s">
        <v>101</v>
      </c>
      <c r="K6" s="13">
        <v>45565</v>
      </c>
      <c r="L6" s="14"/>
      <c r="M6" s="15">
        <v>45923</v>
      </c>
      <c r="N6" s="15">
        <v>46287</v>
      </c>
      <c r="O6" s="58">
        <f ca="1">N6-TODAY()</f>
        <v>173</v>
      </c>
      <c r="P6" s="282">
        <v>3032.2</v>
      </c>
      <c r="Q6" s="282">
        <v>8502.7800000000007</v>
      </c>
      <c r="R6" s="16">
        <v>168</v>
      </c>
      <c r="S6" s="52">
        <f>P6+Q6+704</f>
        <v>12238.98</v>
      </c>
      <c r="T6" s="36"/>
      <c r="U6" s="17">
        <v>136.9</v>
      </c>
      <c r="V6" s="99">
        <v>145.11000000000001</v>
      </c>
      <c r="W6" s="18">
        <v>168</v>
      </c>
      <c r="X6" s="17">
        <f>Tabela1[[#This Row],[R$ TAXA FATURAMENTO]]*Tabela1[[#This Row],[HORAS TRABALHADAS2]]</f>
        <v>22999.200000000001</v>
      </c>
      <c r="Y6" s="301"/>
    </row>
    <row r="7" spans="1:25">
      <c r="A7" s="280">
        <v>111</v>
      </c>
      <c r="B7" s="280" t="s">
        <v>124</v>
      </c>
      <c r="C7" s="288"/>
      <c r="D7" s="101" t="s">
        <v>125</v>
      </c>
      <c r="E7" s="330" t="s">
        <v>126</v>
      </c>
      <c r="F7" s="280" t="s">
        <v>127</v>
      </c>
      <c r="G7" s="286" t="s">
        <v>128</v>
      </c>
      <c r="H7" s="11" t="s">
        <v>45</v>
      </c>
      <c r="I7" s="281" t="s">
        <v>29</v>
      </c>
      <c r="J7" s="12" t="s">
        <v>101</v>
      </c>
      <c r="K7" s="13">
        <v>46132</v>
      </c>
      <c r="L7" s="19"/>
      <c r="M7" s="15"/>
      <c r="N7" s="15"/>
      <c r="O7" s="58">
        <f ca="1">N7-TODAY()</f>
        <v>-46114</v>
      </c>
      <c r="P7" s="282"/>
      <c r="Q7" s="282"/>
      <c r="R7" s="16">
        <f>Tabela1[[#This Row],[R$ PAGAMENTO]]-Tabela1[[#This Row],[VALOR CLT]]</f>
        <v>0</v>
      </c>
      <c r="S7" s="52"/>
      <c r="T7" s="36"/>
      <c r="U7" s="17"/>
      <c r="V7" s="99"/>
      <c r="W7" s="18"/>
      <c r="X7" s="17">
        <f>Tabela1[[#This Row],[R$ TAXA FATURAMENTO]]*Tabela1[[#This Row],[HORAS TRABALHADAS2]]</f>
        <v>0</v>
      </c>
      <c r="Y7" s="301"/>
    </row>
    <row r="8" spans="1:25">
      <c r="A8" s="280">
        <v>126</v>
      </c>
      <c r="B8" s="280" t="s">
        <v>129</v>
      </c>
      <c r="C8" s="275" t="s">
        <v>130</v>
      </c>
      <c r="D8" s="101" t="s">
        <v>131</v>
      </c>
      <c r="E8" s="330" t="s">
        <v>132</v>
      </c>
      <c r="F8" s="280" t="s">
        <v>133</v>
      </c>
      <c r="G8" s="286" t="s">
        <v>134</v>
      </c>
      <c r="H8" s="11" t="s">
        <v>28</v>
      </c>
      <c r="I8" s="281" t="s">
        <v>29</v>
      </c>
      <c r="J8" s="12" t="s">
        <v>101</v>
      </c>
      <c r="K8" s="13">
        <v>45456</v>
      </c>
      <c r="L8" s="19"/>
      <c r="M8" s="15">
        <v>45922</v>
      </c>
      <c r="N8" s="15">
        <v>46286</v>
      </c>
      <c r="O8" s="58">
        <f ca="1">N8-TODAY()</f>
        <v>172</v>
      </c>
      <c r="P8" s="282">
        <v>3130.32</v>
      </c>
      <c r="Q8" s="282">
        <v>14343.34</v>
      </c>
      <c r="R8" s="16">
        <v>168</v>
      </c>
      <c r="S8" s="52">
        <f>P8+Q8+704</f>
        <v>18177.66</v>
      </c>
      <c r="T8" s="36"/>
      <c r="U8" s="17">
        <v>169.29</v>
      </c>
      <c r="V8" s="99">
        <v>179.45</v>
      </c>
      <c r="W8" s="18">
        <v>168</v>
      </c>
      <c r="X8" s="17">
        <f>Tabela1[[#This Row],[R$ TAXA FATURAMENTO]]*Tabela1[[#This Row],[HORAS TRABALHADAS2]]</f>
        <v>28440.719999999998</v>
      </c>
      <c r="Y8" s="301"/>
    </row>
    <row r="9" spans="1:25">
      <c r="A9" s="280">
        <v>133</v>
      </c>
      <c r="B9" s="280" t="s">
        <v>135</v>
      </c>
      <c r="C9" s="275" t="s">
        <v>136</v>
      </c>
      <c r="D9" s="101" t="s">
        <v>137</v>
      </c>
      <c r="E9" s="101" t="s">
        <v>138</v>
      </c>
      <c r="F9" s="280" t="s">
        <v>139</v>
      </c>
      <c r="G9" s="286" t="s">
        <v>140</v>
      </c>
      <c r="H9" s="11" t="s">
        <v>61</v>
      </c>
      <c r="I9" s="281" t="s">
        <v>29</v>
      </c>
      <c r="J9" s="12" t="s">
        <v>101</v>
      </c>
      <c r="K9" s="13">
        <v>44690</v>
      </c>
      <c r="L9" s="19"/>
      <c r="M9" s="15">
        <v>45962</v>
      </c>
      <c r="N9" s="15">
        <v>46287</v>
      </c>
      <c r="O9" s="58">
        <f ca="1">N9-TODAY()</f>
        <v>173</v>
      </c>
      <c r="P9" s="282">
        <v>2500</v>
      </c>
      <c r="Q9" s="282">
        <v>20139</v>
      </c>
      <c r="R9" s="16">
        <v>168</v>
      </c>
      <c r="S9" s="52">
        <f>P9+Q9+704</f>
        <v>23343</v>
      </c>
      <c r="T9" s="36">
        <v>164.16</v>
      </c>
      <c r="U9" s="17">
        <v>191.48</v>
      </c>
      <c r="V9" s="99">
        <v>202.97</v>
      </c>
      <c r="W9" s="18">
        <v>168</v>
      </c>
      <c r="X9" s="17">
        <f>Tabela1[[#This Row],[R$ TAXA FATURAMENTO]]*Tabela1[[#This Row],[HORAS TRABALHADAS2]]</f>
        <v>32168.639999999999</v>
      </c>
      <c r="Y9" s="301"/>
    </row>
    <row r="10" spans="1:25">
      <c r="A10" s="280">
        <v>37</v>
      </c>
      <c r="B10" s="280" t="s">
        <v>141</v>
      </c>
      <c r="C10" s="288" t="s">
        <v>142</v>
      </c>
      <c r="D10" s="101" t="s">
        <v>125</v>
      </c>
      <c r="E10" s="330" t="s">
        <v>126</v>
      </c>
      <c r="F10" s="280" t="s">
        <v>143</v>
      </c>
      <c r="G10" s="286" t="s">
        <v>143</v>
      </c>
      <c r="H10" s="11" t="s">
        <v>45</v>
      </c>
      <c r="I10" s="281" t="s">
        <v>29</v>
      </c>
      <c r="J10" s="12" t="s">
        <v>101</v>
      </c>
      <c r="K10" s="13">
        <v>46118</v>
      </c>
      <c r="L10" s="19"/>
      <c r="M10" s="15">
        <v>46104</v>
      </c>
      <c r="N10" s="15"/>
      <c r="O10" s="58">
        <f ca="1">N10-TODAY()</f>
        <v>-46114</v>
      </c>
      <c r="P10" s="282">
        <v>2565</v>
      </c>
      <c r="Q10" s="282">
        <v>5281</v>
      </c>
      <c r="R10" s="16">
        <v>168</v>
      </c>
      <c r="S10" s="52">
        <f>P10+Q10+704</f>
        <v>8550</v>
      </c>
      <c r="T10" s="36"/>
      <c r="U10" s="17"/>
      <c r="V10" s="99"/>
      <c r="W10" s="18"/>
      <c r="X10" s="17">
        <f>Tabela1[[#This Row],[R$ TAXA FATURAMENTO]]*Tabela1[[#This Row],[HORAS TRABALHADAS2]]</f>
        <v>0</v>
      </c>
      <c r="Y10" s="301"/>
    </row>
    <row r="11" spans="1:25">
      <c r="A11" s="280">
        <v>194</v>
      </c>
      <c r="B11" s="280" t="s">
        <v>144</v>
      </c>
      <c r="C11" s="275"/>
      <c r="D11" s="101" t="s">
        <v>145</v>
      </c>
      <c r="E11" s="330" t="s">
        <v>146</v>
      </c>
      <c r="F11" s="280" t="s">
        <v>147</v>
      </c>
      <c r="G11" s="286" t="s">
        <v>148</v>
      </c>
      <c r="H11" s="11" t="s">
        <v>61</v>
      </c>
      <c r="I11" s="281" t="s">
        <v>29</v>
      </c>
      <c r="J11" s="12" t="s">
        <v>101</v>
      </c>
      <c r="K11" s="13">
        <v>45929</v>
      </c>
      <c r="L11" s="19"/>
      <c r="M11" s="15">
        <v>45929</v>
      </c>
      <c r="N11" s="15">
        <v>46286</v>
      </c>
      <c r="O11" s="58">
        <f ca="1">N11-TODAY()</f>
        <v>172</v>
      </c>
      <c r="P11" s="282">
        <v>2500</v>
      </c>
      <c r="Q11" s="282">
        <v>15803.91</v>
      </c>
      <c r="R11" s="16">
        <v>168</v>
      </c>
      <c r="S11" s="52">
        <f>P11+Q11+704</f>
        <v>19007.91</v>
      </c>
      <c r="T11" s="36"/>
      <c r="U11" s="17"/>
      <c r="V11" s="99">
        <v>224.17</v>
      </c>
      <c r="W11" s="18">
        <v>168</v>
      </c>
      <c r="X11" s="17">
        <f>Tabela1[[#This Row],[Faturamento Renovação 2025]]*168</f>
        <v>37660.559999999998</v>
      </c>
      <c r="Y11" s="301"/>
    </row>
    <row r="12" spans="1:25">
      <c r="A12" s="280">
        <v>116</v>
      </c>
      <c r="B12" s="280" t="s">
        <v>149</v>
      </c>
      <c r="C12" s="288" t="s">
        <v>150</v>
      </c>
      <c r="D12" s="101" t="s">
        <v>151</v>
      </c>
      <c r="E12" s="330" t="s">
        <v>152</v>
      </c>
      <c r="F12" s="280" t="s">
        <v>153</v>
      </c>
      <c r="G12" s="286" t="s">
        <v>154</v>
      </c>
      <c r="H12" s="12" t="s">
        <v>45</v>
      </c>
      <c r="I12" s="281" t="s">
        <v>29</v>
      </c>
      <c r="J12" s="12" t="s">
        <v>101</v>
      </c>
      <c r="K12" s="13">
        <v>45769</v>
      </c>
      <c r="L12" s="19"/>
      <c r="M12" s="15">
        <v>46113</v>
      </c>
      <c r="N12" s="15">
        <v>46287</v>
      </c>
      <c r="O12" s="58">
        <f ca="1">N12-TODAY()</f>
        <v>173</v>
      </c>
      <c r="P12" s="282">
        <v>2958.05</v>
      </c>
      <c r="Q12" s="282">
        <v>2458.7800000000002</v>
      </c>
      <c r="R12" s="16">
        <v>168</v>
      </c>
      <c r="S12" s="52">
        <f>P12+Q12+704</f>
        <v>6120.83</v>
      </c>
      <c r="T12" s="36"/>
      <c r="U12" s="17">
        <v>87.63</v>
      </c>
      <c r="V12" s="99">
        <v>92.89</v>
      </c>
      <c r="W12" s="18">
        <v>168</v>
      </c>
      <c r="X12" s="17">
        <f>Tabela1[[#This Row],[Faturamento Renovação 2025]]*Tabela1[[#This Row],[HORAS TRABALHADAS2]]</f>
        <v>15605.52</v>
      </c>
      <c r="Y12" s="301"/>
    </row>
    <row r="13" spans="1:25">
      <c r="A13" s="280">
        <v>134</v>
      </c>
      <c r="B13" s="347" t="s">
        <v>155</v>
      </c>
      <c r="C13" s="273" t="s">
        <v>156</v>
      </c>
      <c r="D13" s="101" t="s">
        <v>157</v>
      </c>
      <c r="E13" s="330" t="s">
        <v>158</v>
      </c>
      <c r="F13" s="280" t="s">
        <v>159</v>
      </c>
      <c r="G13" s="286" t="s">
        <v>160</v>
      </c>
      <c r="H13" s="11" t="s">
        <v>45</v>
      </c>
      <c r="I13" s="281" t="s">
        <v>29</v>
      </c>
      <c r="J13" s="12" t="s">
        <v>101</v>
      </c>
      <c r="K13" s="13">
        <v>44546</v>
      </c>
      <c r="L13" s="19"/>
      <c r="M13" s="15">
        <v>45923</v>
      </c>
      <c r="N13" s="15">
        <v>46287</v>
      </c>
      <c r="O13" s="58">
        <f ca="1">N13-TODAY()</f>
        <v>173</v>
      </c>
      <c r="P13" s="282">
        <v>2500</v>
      </c>
      <c r="Q13" s="282">
        <v>15023.11</v>
      </c>
      <c r="R13" s="16">
        <v>168</v>
      </c>
      <c r="S13" s="52">
        <f>P13+Q13+704</f>
        <v>18227.11</v>
      </c>
      <c r="T13" s="36">
        <v>169.34</v>
      </c>
      <c r="U13" s="17">
        <v>128.54</v>
      </c>
      <c r="V13" s="99">
        <v>136.25</v>
      </c>
      <c r="W13" s="18">
        <v>168</v>
      </c>
      <c r="X13" s="17">
        <f>Tabela1[[#This Row],[R$ TAXA FATURAMENTO]]*Tabela1[[#This Row],[HORAS TRABALHADAS2]]</f>
        <v>21594.719999999998</v>
      </c>
      <c r="Y13" s="301"/>
    </row>
    <row r="14" spans="1:25">
      <c r="A14" s="280">
        <v>112</v>
      </c>
      <c r="B14" s="101" t="s">
        <v>161</v>
      </c>
      <c r="C14" s="288" t="s">
        <v>162</v>
      </c>
      <c r="D14" s="101" t="s">
        <v>163</v>
      </c>
      <c r="E14" s="101"/>
      <c r="F14" s="284" t="s">
        <v>164</v>
      </c>
      <c r="G14" s="286" t="s">
        <v>165</v>
      </c>
      <c r="H14" s="11" t="s">
        <v>45</v>
      </c>
      <c r="I14" s="281" t="s">
        <v>29</v>
      </c>
      <c r="J14" s="12" t="s">
        <v>101</v>
      </c>
      <c r="K14" s="13">
        <v>44799</v>
      </c>
      <c r="L14" s="19"/>
      <c r="M14" s="15">
        <v>45962</v>
      </c>
      <c r="N14" s="15">
        <v>46288</v>
      </c>
      <c r="O14" s="58">
        <f ca="1">N14-TODAY()</f>
        <v>174</v>
      </c>
      <c r="P14" s="282">
        <v>2500</v>
      </c>
      <c r="Q14" s="282">
        <v>13639</v>
      </c>
      <c r="R14" s="16">
        <v>168</v>
      </c>
      <c r="S14" s="52">
        <f>P14+Q14+704</f>
        <v>16843</v>
      </c>
      <c r="T14" s="36">
        <v>164.16</v>
      </c>
      <c r="U14" s="17"/>
      <c r="V14" s="99">
        <v>136.25</v>
      </c>
      <c r="W14" s="18">
        <v>168</v>
      </c>
      <c r="X14" s="17">
        <f>Tabela1[[#This Row],[R$ TAXA FATURAMENTO]]*Tabela1[[#This Row],[HORAS TRABALHADAS2]]</f>
        <v>0</v>
      </c>
      <c r="Y14" s="301"/>
    </row>
    <row r="15" spans="1:25">
      <c r="A15" s="280">
        <v>139</v>
      </c>
      <c r="B15" s="280" t="s">
        <v>166</v>
      </c>
      <c r="C15" s="288" t="s">
        <v>167</v>
      </c>
      <c r="D15" s="101" t="s">
        <v>114</v>
      </c>
      <c r="E15" s="101"/>
      <c r="F15" s="280" t="s">
        <v>168</v>
      </c>
      <c r="G15" s="286" t="s">
        <v>169</v>
      </c>
      <c r="H15" s="11" t="s">
        <v>45</v>
      </c>
      <c r="I15" s="281" t="s">
        <v>29</v>
      </c>
      <c r="J15" s="12" t="s">
        <v>101</v>
      </c>
      <c r="K15" s="13">
        <v>45565</v>
      </c>
      <c r="L15" s="19"/>
      <c r="M15" s="15">
        <v>45923</v>
      </c>
      <c r="N15" s="15">
        <v>46287</v>
      </c>
      <c r="O15" s="58">
        <f ca="1">N15-TODAY()</f>
        <v>173</v>
      </c>
      <c r="P15" s="282">
        <v>2783.64</v>
      </c>
      <c r="Q15" s="282">
        <v>8739.2000000000007</v>
      </c>
      <c r="R15" s="16">
        <v>168</v>
      </c>
      <c r="S15" s="52">
        <f>P15+Q15+704</f>
        <v>12226.84</v>
      </c>
      <c r="T15" s="36"/>
      <c r="U15" s="17">
        <v>136.9</v>
      </c>
      <c r="V15" s="99">
        <v>145.11000000000001</v>
      </c>
      <c r="W15" s="18">
        <v>168</v>
      </c>
      <c r="X15" s="17">
        <f>Tabela1[[#This Row],[R$ TAXA FATURAMENTO]]*Tabela1[[#This Row],[HORAS TRABALHADAS2]]</f>
        <v>22999.200000000001</v>
      </c>
      <c r="Y15" s="301"/>
    </row>
    <row r="16" spans="1:25">
      <c r="A16" s="280">
        <v>113</v>
      </c>
      <c r="B16" s="280" t="s">
        <v>170</v>
      </c>
      <c r="C16" s="288" t="s">
        <v>171</v>
      </c>
      <c r="D16" s="101" t="s">
        <v>125</v>
      </c>
      <c r="E16" s="330" t="s">
        <v>126</v>
      </c>
      <c r="F16" s="280" t="s">
        <v>172</v>
      </c>
      <c r="G16" s="286" t="s">
        <v>172</v>
      </c>
      <c r="H16" s="11" t="s">
        <v>28</v>
      </c>
      <c r="I16" s="281" t="s">
        <v>29</v>
      </c>
      <c r="J16" s="12" t="s">
        <v>30</v>
      </c>
      <c r="K16" s="13">
        <v>46062</v>
      </c>
      <c r="L16" s="19"/>
      <c r="M16" s="15">
        <v>46062</v>
      </c>
      <c r="N16" s="15"/>
      <c r="O16" s="58"/>
      <c r="P16" s="282">
        <v>2500</v>
      </c>
      <c r="Q16" s="282">
        <v>5387.91</v>
      </c>
      <c r="R16" s="16">
        <v>168</v>
      </c>
      <c r="S16" s="52">
        <f>P16+Q16+704</f>
        <v>8591.91</v>
      </c>
      <c r="T16" s="36"/>
      <c r="U16" s="17"/>
      <c r="V16" s="99"/>
      <c r="W16" s="18"/>
      <c r="X16" s="17">
        <f>Tabela1[[#This Row],[R$ TAXA FATURAMENTO]]*Tabela1[[#This Row],[HORAS TRABALHADAS2]]</f>
        <v>0</v>
      </c>
      <c r="Y16" s="301"/>
    </row>
    <row r="17" spans="1:27">
      <c r="A17" s="280">
        <v>113</v>
      </c>
      <c r="B17" s="280" t="s">
        <v>173</v>
      </c>
      <c r="C17" s="288" t="s">
        <v>174</v>
      </c>
      <c r="D17" s="101" t="s">
        <v>125</v>
      </c>
      <c r="E17" s="330" t="s">
        <v>126</v>
      </c>
      <c r="F17" s="280" t="s">
        <v>175</v>
      </c>
      <c r="G17" s="286" t="s">
        <v>176</v>
      </c>
      <c r="H17" s="11" t="s">
        <v>45</v>
      </c>
      <c r="I17" s="281" t="s">
        <v>29</v>
      </c>
      <c r="J17" s="12" t="s">
        <v>101</v>
      </c>
      <c r="K17" s="13">
        <v>45082</v>
      </c>
      <c r="L17" s="19"/>
      <c r="M17" s="15">
        <v>45924</v>
      </c>
      <c r="N17" s="15">
        <v>46288</v>
      </c>
      <c r="O17" s="58">
        <f ca="1">N17-TODAY()</f>
        <v>174</v>
      </c>
      <c r="P17" s="282">
        <v>2886.42</v>
      </c>
      <c r="Q17" s="282">
        <v>6322.02</v>
      </c>
      <c r="R17" s="16">
        <v>168</v>
      </c>
      <c r="S17" s="52">
        <f>P17+Q17+704</f>
        <v>9912.44</v>
      </c>
      <c r="T17" s="36"/>
      <c r="U17" s="17">
        <v>113.1</v>
      </c>
      <c r="V17" s="99">
        <v>119.89</v>
      </c>
      <c r="W17" s="18">
        <v>168</v>
      </c>
      <c r="X17" s="17">
        <f>Tabela1[[#This Row],[R$ TAXA FATURAMENTO]]*Tabela1[[#This Row],[HORAS TRABALHADAS2]]</f>
        <v>19000.8</v>
      </c>
      <c r="Y17" s="301"/>
    </row>
    <row r="18" spans="1:27">
      <c r="A18" s="280">
        <v>125</v>
      </c>
      <c r="B18" s="280" t="s">
        <v>177</v>
      </c>
      <c r="C18" s="288" t="s">
        <v>178</v>
      </c>
      <c r="D18" s="101" t="s">
        <v>179</v>
      </c>
      <c r="E18" s="101" t="s">
        <v>138</v>
      </c>
      <c r="F18" s="280" t="s">
        <v>180</v>
      </c>
      <c r="G18" s="286" t="s">
        <v>181</v>
      </c>
      <c r="H18" s="11" t="s">
        <v>28</v>
      </c>
      <c r="I18" s="281" t="s">
        <v>29</v>
      </c>
      <c r="J18" s="12" t="s">
        <v>101</v>
      </c>
      <c r="K18" s="13">
        <v>44602</v>
      </c>
      <c r="L18" s="19"/>
      <c r="M18" s="15">
        <v>45922</v>
      </c>
      <c r="N18" s="15">
        <v>46286</v>
      </c>
      <c r="O18" s="58">
        <f ca="1">N18-TODAY()</f>
        <v>172</v>
      </c>
      <c r="P18" s="282">
        <v>2500</v>
      </c>
      <c r="Q18" s="282">
        <v>11835.16</v>
      </c>
      <c r="R18" s="16">
        <v>168</v>
      </c>
      <c r="S18" s="52">
        <f>P18+Q18+704</f>
        <v>15039.16</v>
      </c>
      <c r="T18" s="36">
        <v>313.24</v>
      </c>
      <c r="U18" s="17">
        <v>145.79</v>
      </c>
      <c r="V18" s="99">
        <v>154.53</v>
      </c>
      <c r="W18" s="18">
        <v>168</v>
      </c>
      <c r="X18" s="17">
        <f>Tabela1[[#This Row],[R$ TAXA FATURAMENTO]]*Tabela1[[#This Row],[HORAS TRABALHADAS2]]</f>
        <v>24492.719999999998</v>
      </c>
      <c r="Y18" s="301"/>
    </row>
    <row r="19" spans="1:27">
      <c r="A19" s="280">
        <v>91</v>
      </c>
      <c r="B19" s="280" t="s">
        <v>182</v>
      </c>
      <c r="C19" s="288" t="s">
        <v>183</v>
      </c>
      <c r="D19" s="101" t="s">
        <v>184</v>
      </c>
      <c r="E19" s="101"/>
      <c r="F19" s="280" t="s">
        <v>185</v>
      </c>
      <c r="G19" s="286" t="s">
        <v>186</v>
      </c>
      <c r="H19" s="11" t="s">
        <v>28</v>
      </c>
      <c r="I19" s="281" t="s">
        <v>29</v>
      </c>
      <c r="J19" s="12" t="s">
        <v>101</v>
      </c>
      <c r="K19" s="13">
        <v>44839</v>
      </c>
      <c r="L19" s="14"/>
      <c r="M19" s="15">
        <v>45922</v>
      </c>
      <c r="N19" s="15">
        <v>46286</v>
      </c>
      <c r="O19" s="58">
        <f ca="1">N19-TODAY()</f>
        <v>172</v>
      </c>
      <c r="P19" s="282">
        <v>2500</v>
      </c>
      <c r="Q19" s="282">
        <v>12259</v>
      </c>
      <c r="R19" s="16">
        <v>168</v>
      </c>
      <c r="S19" s="52">
        <f>P19+Q19+704</f>
        <v>15463</v>
      </c>
      <c r="T19" s="36">
        <v>380</v>
      </c>
      <c r="U19" s="17">
        <v>152.57</v>
      </c>
      <c r="V19" s="99">
        <v>161.72</v>
      </c>
      <c r="W19" s="18">
        <v>168</v>
      </c>
      <c r="X19" s="17">
        <f>Tabela1[[#This Row],[R$ TAXA FATURAMENTO]]*Tabela1[[#This Row],[HORAS TRABALHADAS2]]</f>
        <v>25631.759999999998</v>
      </c>
      <c r="Y19" s="301"/>
    </row>
    <row r="20" spans="1:27">
      <c r="A20" s="280">
        <v>123</v>
      </c>
      <c r="B20" s="280" t="s">
        <v>187</v>
      </c>
      <c r="C20" s="288" t="s">
        <v>188</v>
      </c>
      <c r="D20" s="101" t="s">
        <v>189</v>
      </c>
      <c r="E20" s="330" t="s">
        <v>152</v>
      </c>
      <c r="F20" s="280" t="s">
        <v>190</v>
      </c>
      <c r="G20" s="286" t="s">
        <v>190</v>
      </c>
      <c r="H20" s="11" t="s">
        <v>45</v>
      </c>
      <c r="I20" s="281" t="s">
        <v>29</v>
      </c>
      <c r="J20" s="12" t="s">
        <v>30</v>
      </c>
      <c r="K20" s="13">
        <v>46062</v>
      </c>
      <c r="L20" s="19"/>
      <c r="M20" s="15">
        <v>46062</v>
      </c>
      <c r="N20" s="15"/>
      <c r="O20" s="58">
        <f ca="1">N20-TODAY()</f>
        <v>-46114</v>
      </c>
      <c r="P20" s="282">
        <v>2500</v>
      </c>
      <c r="Q20" s="282">
        <v>4547.91</v>
      </c>
      <c r="R20" s="16">
        <v>168</v>
      </c>
      <c r="S20" s="52">
        <f>P20+Q20+704</f>
        <v>7751.91</v>
      </c>
      <c r="T20" s="36"/>
      <c r="U20" s="17"/>
      <c r="V20" s="99"/>
      <c r="W20" s="18"/>
      <c r="X20" s="17">
        <f>Tabela1[[#This Row],[R$ TAXA FATURAMENTO]]*Tabela1[[#This Row],[HORAS TRABALHADAS2]]</f>
        <v>0</v>
      </c>
      <c r="Y20" s="301"/>
    </row>
    <row r="21" spans="1:27">
      <c r="A21" s="280">
        <v>142</v>
      </c>
      <c r="B21" s="280" t="s">
        <v>191</v>
      </c>
      <c r="C21" s="288" t="s">
        <v>192</v>
      </c>
      <c r="D21" s="101" t="s">
        <v>125</v>
      </c>
      <c r="E21" s="330" t="s">
        <v>126</v>
      </c>
      <c r="F21" s="280" t="s">
        <v>175</v>
      </c>
      <c r="G21" s="286" t="s">
        <v>176</v>
      </c>
      <c r="H21" s="11" t="s">
        <v>45</v>
      </c>
      <c r="I21" s="281" t="s">
        <v>29</v>
      </c>
      <c r="J21" s="12" t="s">
        <v>101</v>
      </c>
      <c r="K21" s="13">
        <v>45082</v>
      </c>
      <c r="L21" s="19"/>
      <c r="M21" s="15">
        <v>45924</v>
      </c>
      <c r="N21" s="15">
        <v>46288</v>
      </c>
      <c r="O21" s="58">
        <f ca="1">N21-TODAY()</f>
        <v>174</v>
      </c>
      <c r="P21" s="282">
        <v>2886.42</v>
      </c>
      <c r="Q21" s="282">
        <v>6005.1</v>
      </c>
      <c r="R21" s="16">
        <v>168</v>
      </c>
      <c r="S21" s="52">
        <f>P21+Q21+704</f>
        <v>9595.52</v>
      </c>
      <c r="T21" s="36"/>
      <c r="U21" s="17">
        <v>113.1</v>
      </c>
      <c r="V21" s="99">
        <v>119.89</v>
      </c>
      <c r="W21" s="18">
        <v>168</v>
      </c>
      <c r="X21" s="17">
        <f>Tabela1[[#This Row],[R$ TAXA FATURAMENTO]]*Tabela1[[#This Row],[HORAS TRABALHADAS2]]</f>
        <v>19000.8</v>
      </c>
      <c r="Y21" s="301"/>
    </row>
    <row r="22" spans="1:27">
      <c r="A22" s="280">
        <v>109</v>
      </c>
      <c r="B22" s="347" t="s">
        <v>193</v>
      </c>
      <c r="C22" s="288" t="s">
        <v>194</v>
      </c>
      <c r="D22" s="101" t="s">
        <v>195</v>
      </c>
      <c r="E22" s="101"/>
      <c r="F22" s="280" t="s">
        <v>196</v>
      </c>
      <c r="G22" s="49" t="s">
        <v>197</v>
      </c>
      <c r="H22" s="11" t="s">
        <v>45</v>
      </c>
      <c r="I22" s="281" t="s">
        <v>29</v>
      </c>
      <c r="J22" s="12" t="s">
        <v>101</v>
      </c>
      <c r="K22" s="13">
        <v>45525</v>
      </c>
      <c r="L22" s="19"/>
      <c r="M22" s="15">
        <v>45897</v>
      </c>
      <c r="N22" s="15">
        <v>46261</v>
      </c>
      <c r="O22" s="58">
        <f ca="1">N22-TODAY()</f>
        <v>147</v>
      </c>
      <c r="P22" s="282">
        <v>2529.7399999999998</v>
      </c>
      <c r="Q22" s="282">
        <v>3089.63</v>
      </c>
      <c r="R22" s="16">
        <v>168</v>
      </c>
      <c r="S22" s="52">
        <f>P22+Q22+704</f>
        <v>6323.37</v>
      </c>
      <c r="T22" s="36"/>
      <c r="U22" s="17">
        <v>101.19</v>
      </c>
      <c r="V22" s="99">
        <v>107.26</v>
      </c>
      <c r="W22" s="18">
        <v>168</v>
      </c>
      <c r="X22" s="17">
        <f>Tabela1[[#This Row],[R$ TAXA FATURAMENTO]]*Tabela1[[#This Row],[HORAS TRABALHADAS2]]</f>
        <v>16999.919999999998</v>
      </c>
      <c r="Y22" s="301"/>
    </row>
    <row r="23" spans="1:27">
      <c r="A23" s="280">
        <v>136</v>
      </c>
      <c r="B23" s="280" t="s">
        <v>198</v>
      </c>
      <c r="C23" s="288" t="s">
        <v>199</v>
      </c>
      <c r="D23" s="101" t="s">
        <v>125</v>
      </c>
      <c r="E23" s="330" t="s">
        <v>126</v>
      </c>
      <c r="F23" s="280" t="s">
        <v>175</v>
      </c>
      <c r="G23" s="286" t="s">
        <v>200</v>
      </c>
      <c r="H23" s="11" t="s">
        <v>45</v>
      </c>
      <c r="I23" s="281" t="s">
        <v>29</v>
      </c>
      <c r="J23" s="12" t="s">
        <v>101</v>
      </c>
      <c r="K23" s="13">
        <v>45328</v>
      </c>
      <c r="L23" s="14"/>
      <c r="M23" s="15">
        <v>45924</v>
      </c>
      <c r="N23" s="15">
        <v>46288</v>
      </c>
      <c r="O23" s="58">
        <f ca="1">N23-TODAY()</f>
        <v>174</v>
      </c>
      <c r="P23" s="282">
        <v>2809.99</v>
      </c>
      <c r="Q23" s="282">
        <v>6317.4</v>
      </c>
      <c r="R23" s="16">
        <v>168</v>
      </c>
      <c r="S23" s="52">
        <f>P23+Q23+704</f>
        <v>9831.39</v>
      </c>
      <c r="T23" s="36"/>
      <c r="U23" s="17">
        <v>113.1</v>
      </c>
      <c r="V23" s="99">
        <v>119.89</v>
      </c>
      <c r="W23" s="18">
        <v>168</v>
      </c>
      <c r="X23" s="17">
        <f>Tabela1[[#This Row],[R$ TAXA FATURAMENTO]]*Tabela1[[#This Row],[HORAS TRABALHADAS2]]</f>
        <v>19000.8</v>
      </c>
      <c r="Y23" s="301"/>
    </row>
    <row r="24" spans="1:27">
      <c r="A24" s="280">
        <v>132</v>
      </c>
      <c r="B24" s="348" t="s">
        <v>201</v>
      </c>
      <c r="C24" s="288" t="s">
        <v>202</v>
      </c>
      <c r="D24" s="101" t="s">
        <v>203</v>
      </c>
      <c r="E24" s="101"/>
      <c r="F24" s="280" t="s">
        <v>204</v>
      </c>
      <c r="G24" s="286" t="s">
        <v>204</v>
      </c>
      <c r="H24" s="11" t="s">
        <v>45</v>
      </c>
      <c r="I24" s="281" t="s">
        <v>29</v>
      </c>
      <c r="J24" s="12" t="s">
        <v>101</v>
      </c>
      <c r="K24" s="13">
        <v>46027</v>
      </c>
      <c r="L24" s="19"/>
      <c r="M24" s="15">
        <v>46027</v>
      </c>
      <c r="N24" s="15">
        <v>46295</v>
      </c>
      <c r="O24" s="58">
        <f ca="1">N24-TODAY()</f>
        <v>181</v>
      </c>
      <c r="P24" s="282">
        <v>2500</v>
      </c>
      <c r="Q24" s="282">
        <v>11759.91</v>
      </c>
      <c r="R24" s="16">
        <v>168</v>
      </c>
      <c r="S24" s="52">
        <f>P24+Q24+704</f>
        <v>14963.91</v>
      </c>
      <c r="T24" s="36"/>
      <c r="U24" s="17"/>
      <c r="V24" s="99">
        <v>166.16</v>
      </c>
      <c r="W24" s="18">
        <v>168</v>
      </c>
      <c r="X24" s="17">
        <f>Tabela1[[#This Row],[HORAS TRABALHADAS2]]*Tabela1[[#This Row],[Faturamento Renovação 2025]]</f>
        <v>27914.880000000001</v>
      </c>
      <c r="Y24" s="301"/>
    </row>
    <row r="25" spans="1:27">
      <c r="A25" s="280">
        <v>169</v>
      </c>
      <c r="B25" s="280" t="s">
        <v>205</v>
      </c>
      <c r="C25" s="287" t="s">
        <v>206</v>
      </c>
      <c r="D25" s="101" t="s">
        <v>207</v>
      </c>
      <c r="E25" s="101"/>
      <c r="F25" s="280" t="s">
        <v>208</v>
      </c>
      <c r="G25" s="286" t="s">
        <v>209</v>
      </c>
      <c r="H25" s="12" t="s">
        <v>45</v>
      </c>
      <c r="I25" s="281" t="s">
        <v>100</v>
      </c>
      <c r="J25" s="12" t="s">
        <v>101</v>
      </c>
      <c r="K25" s="13">
        <v>45831</v>
      </c>
      <c r="L25" s="19"/>
      <c r="M25" s="15">
        <v>45922</v>
      </c>
      <c r="N25" s="15">
        <v>46286</v>
      </c>
      <c r="O25" s="58">
        <f ca="1">N25-TODAY()</f>
        <v>172</v>
      </c>
      <c r="P25" s="282">
        <v>2500</v>
      </c>
      <c r="Q25" s="282">
        <v>9083.91</v>
      </c>
      <c r="R25" s="16">
        <v>168</v>
      </c>
      <c r="S25" s="52">
        <f>P25+Q25+704</f>
        <v>12287.91</v>
      </c>
      <c r="T25" s="36"/>
      <c r="U25" s="17">
        <v>128.54</v>
      </c>
      <c r="V25" s="99">
        <v>136.25</v>
      </c>
      <c r="W25" s="18">
        <v>168</v>
      </c>
      <c r="X25" s="17">
        <f>Tabela1[[#This Row],[R$ TAXA FATURAMENTO]]*Tabela1[[#This Row],[HORAS TRABALHADAS2]]</f>
        <v>21594.719999999998</v>
      </c>
      <c r="Y25" s="301"/>
    </row>
    <row r="26" spans="1:27">
      <c r="A26" s="280">
        <v>129</v>
      </c>
      <c r="B26" s="348" t="s">
        <v>210</v>
      </c>
      <c r="C26" s="288" t="s">
        <v>211</v>
      </c>
      <c r="D26" s="101" t="s">
        <v>212</v>
      </c>
      <c r="E26" s="101"/>
      <c r="F26" s="280" t="s">
        <v>133</v>
      </c>
      <c r="G26" s="286" t="s">
        <v>213</v>
      </c>
      <c r="H26" s="11" t="s">
        <v>28</v>
      </c>
      <c r="I26" s="281" t="s">
        <v>29</v>
      </c>
      <c r="J26" s="12" t="s">
        <v>101</v>
      </c>
      <c r="K26" s="13">
        <v>45387</v>
      </c>
      <c r="L26" s="19"/>
      <c r="M26" s="15">
        <v>45922</v>
      </c>
      <c r="N26" s="15">
        <v>46287</v>
      </c>
      <c r="O26" s="58">
        <f ca="1">N26-TODAY()</f>
        <v>173</v>
      </c>
      <c r="P26" s="282">
        <v>3129.11</v>
      </c>
      <c r="Q26" s="282">
        <v>12852.31</v>
      </c>
      <c r="R26" s="16">
        <v>168</v>
      </c>
      <c r="S26" s="52">
        <f>P26+Q26+704</f>
        <v>16685.419999999998</v>
      </c>
      <c r="T26" s="36"/>
      <c r="U26" s="17">
        <v>169.29</v>
      </c>
      <c r="V26" s="99">
        <v>179.45</v>
      </c>
      <c r="W26" s="18">
        <v>168</v>
      </c>
      <c r="X26" s="17">
        <f>Tabela1[[#This Row],[R$ TAXA FATURAMENTO]]*Tabela1[[#This Row],[HORAS TRABALHADAS2]]</f>
        <v>28440.719999999998</v>
      </c>
      <c r="Y26" s="301"/>
    </row>
    <row r="27" spans="1:27">
      <c r="A27" s="280">
        <v>149</v>
      </c>
      <c r="B27" s="280" t="s">
        <v>214</v>
      </c>
      <c r="C27" s="288" t="s">
        <v>215</v>
      </c>
      <c r="D27" s="101" t="s">
        <v>125</v>
      </c>
      <c r="E27" s="330" t="s">
        <v>126</v>
      </c>
      <c r="F27" s="280" t="s">
        <v>175</v>
      </c>
      <c r="G27" s="286" t="s">
        <v>176</v>
      </c>
      <c r="H27" s="11" t="s">
        <v>45</v>
      </c>
      <c r="I27" s="281" t="s">
        <v>29</v>
      </c>
      <c r="J27" s="12" t="s">
        <v>101</v>
      </c>
      <c r="K27" s="13">
        <v>45393</v>
      </c>
      <c r="L27" s="19"/>
      <c r="M27" s="15">
        <v>45924</v>
      </c>
      <c r="N27" s="15">
        <v>46288</v>
      </c>
      <c r="O27" s="58">
        <f ca="1">N27-TODAY()</f>
        <v>174</v>
      </c>
      <c r="P27" s="282">
        <v>2900.13</v>
      </c>
      <c r="Q27" s="282">
        <v>6034.35</v>
      </c>
      <c r="R27" s="16">
        <v>168</v>
      </c>
      <c r="S27" s="52">
        <f>P27+Q27+704</f>
        <v>9638.48</v>
      </c>
      <c r="T27" s="36"/>
      <c r="U27" s="17">
        <v>113.1</v>
      </c>
      <c r="V27" s="99">
        <v>119.89</v>
      </c>
      <c r="W27" s="18">
        <v>168</v>
      </c>
      <c r="X27" s="17">
        <f>Tabela1[[#This Row],[R$ TAXA FATURAMENTO]]*Tabela1[[#This Row],[HORAS TRABALHADAS2]]</f>
        <v>19000.8</v>
      </c>
      <c r="Y27" s="301"/>
    </row>
    <row r="28" spans="1:27">
      <c r="A28" s="280">
        <v>169</v>
      </c>
      <c r="B28" s="348" t="s">
        <v>216</v>
      </c>
      <c r="C28" s="288" t="s">
        <v>217</v>
      </c>
      <c r="D28" s="101" t="s">
        <v>218</v>
      </c>
      <c r="E28" s="101"/>
      <c r="F28" s="280" t="s">
        <v>133</v>
      </c>
      <c r="G28" s="286" t="s">
        <v>181</v>
      </c>
      <c r="H28" s="11" t="s">
        <v>28</v>
      </c>
      <c r="I28" s="281" t="s">
        <v>29</v>
      </c>
      <c r="J28" s="12" t="s">
        <v>101</v>
      </c>
      <c r="K28" s="13">
        <v>44774</v>
      </c>
      <c r="L28" s="19"/>
      <c r="M28" s="15">
        <v>45922</v>
      </c>
      <c r="N28" s="15">
        <v>46286</v>
      </c>
      <c r="O28" s="58">
        <f ca="1">N28-TODAY()</f>
        <v>172</v>
      </c>
      <c r="P28" s="282">
        <v>2500</v>
      </c>
      <c r="Q28" s="282">
        <v>16367.11</v>
      </c>
      <c r="R28" s="16">
        <v>168</v>
      </c>
      <c r="S28" s="52">
        <f>P28+Q28+704</f>
        <v>19571.11</v>
      </c>
      <c r="T28" s="36" t="s">
        <v>219</v>
      </c>
      <c r="U28" s="17">
        <v>169.29</v>
      </c>
      <c r="V28" s="99">
        <v>179.45</v>
      </c>
      <c r="W28" s="18">
        <v>168</v>
      </c>
      <c r="X28" s="17">
        <f>Tabela1[[#This Row],[R$ TAXA FATURAMENTO]]*Tabela1[[#This Row],[HORAS TRABALHADAS2]]</f>
        <v>28440.719999999998</v>
      </c>
      <c r="Y28" s="301"/>
    </row>
    <row r="29" spans="1:27">
      <c r="A29" s="280">
        <v>169</v>
      </c>
      <c r="B29" s="280" t="s">
        <v>220</v>
      </c>
      <c r="C29" s="275" t="s">
        <v>221</v>
      </c>
      <c r="D29" s="101" t="s">
        <v>131</v>
      </c>
      <c r="E29" s="101"/>
      <c r="F29" s="280" t="s">
        <v>159</v>
      </c>
      <c r="G29" s="286" t="s">
        <v>222</v>
      </c>
      <c r="H29" s="11" t="s">
        <v>45</v>
      </c>
      <c r="I29" s="281" t="s">
        <v>29</v>
      </c>
      <c r="J29" s="12" t="s">
        <v>101</v>
      </c>
      <c r="K29" s="13">
        <v>44634</v>
      </c>
      <c r="L29" s="19"/>
      <c r="M29" s="15">
        <v>45922</v>
      </c>
      <c r="N29" s="15">
        <v>46286</v>
      </c>
      <c r="O29" s="58">
        <f ca="1">N29-TODAY()</f>
        <v>172</v>
      </c>
      <c r="P29" s="282">
        <v>2500</v>
      </c>
      <c r="Q29" s="282">
        <v>12595</v>
      </c>
      <c r="R29" s="16">
        <v>168</v>
      </c>
      <c r="S29" s="52">
        <f>P29+Q29+704</f>
        <v>15799</v>
      </c>
      <c r="T29" s="36">
        <v>256.92</v>
      </c>
      <c r="U29" s="17">
        <v>128.54</v>
      </c>
      <c r="V29" s="99">
        <v>136.25</v>
      </c>
      <c r="W29" s="18">
        <v>168</v>
      </c>
      <c r="X29" s="17">
        <f>Tabela1[[#This Row],[R$ TAXA FATURAMENTO]]*Tabela1[[#This Row],[HORAS TRABALHADAS2]]</f>
        <v>21594.719999999998</v>
      </c>
      <c r="Y29" s="301"/>
    </row>
    <row r="30" spans="1:27">
      <c r="A30" s="280">
        <v>146</v>
      </c>
      <c r="B30" s="280" t="s">
        <v>223</v>
      </c>
      <c r="C30" s="288" t="s">
        <v>224</v>
      </c>
      <c r="D30" s="101" t="s">
        <v>225</v>
      </c>
      <c r="E30" s="101"/>
      <c r="F30" s="280" t="s">
        <v>133</v>
      </c>
      <c r="G30" s="286" t="s">
        <v>226</v>
      </c>
      <c r="H30" s="11" t="s">
        <v>61</v>
      </c>
      <c r="I30" s="281" t="s">
        <v>29</v>
      </c>
      <c r="J30" s="12" t="s">
        <v>101</v>
      </c>
      <c r="K30" s="13">
        <v>45454</v>
      </c>
      <c r="L30" s="19"/>
      <c r="M30" s="15">
        <v>46054</v>
      </c>
      <c r="N30" s="15">
        <v>46287</v>
      </c>
      <c r="O30" s="58">
        <f ca="1">N30-TODAY()</f>
        <v>173</v>
      </c>
      <c r="P30" s="282">
        <v>3105.1</v>
      </c>
      <c r="Q30" s="282">
        <v>15726.88</v>
      </c>
      <c r="R30" s="16">
        <v>168</v>
      </c>
      <c r="S30" s="52">
        <f>P30+Q30+704</f>
        <v>19535.98</v>
      </c>
      <c r="T30" s="36"/>
      <c r="U30" s="17">
        <v>169.29</v>
      </c>
      <c r="V30" s="99">
        <v>196.06</v>
      </c>
      <c r="W30" s="18">
        <v>168</v>
      </c>
      <c r="X30" s="17">
        <f>Tabela1[[#This Row],[Faturamento Renovação 2025]]*Tabela1[[#This Row],[HORAS TRABALHADAS2]]</f>
        <v>32938.080000000002</v>
      </c>
      <c r="Y30" s="301"/>
    </row>
    <row r="31" spans="1:27">
      <c r="A31" s="280">
        <v>134</v>
      </c>
      <c r="B31" s="348" t="s">
        <v>227</v>
      </c>
      <c r="C31" s="288" t="s">
        <v>228</v>
      </c>
      <c r="D31" s="101" t="s">
        <v>229</v>
      </c>
      <c r="E31" s="101"/>
      <c r="F31" s="280" t="s">
        <v>159</v>
      </c>
      <c r="G31" s="286" t="s">
        <v>230</v>
      </c>
      <c r="H31" s="11" t="s">
        <v>45</v>
      </c>
      <c r="I31" s="281" t="s">
        <v>29</v>
      </c>
      <c r="J31" s="12" t="s">
        <v>101</v>
      </c>
      <c r="K31" s="13">
        <v>44198</v>
      </c>
      <c r="L31" s="14"/>
      <c r="M31" s="15">
        <v>45922</v>
      </c>
      <c r="N31" s="15">
        <v>46287</v>
      </c>
      <c r="O31" s="58">
        <f ca="1">N31-TODAY()</f>
        <v>173</v>
      </c>
      <c r="P31" s="282">
        <v>2500</v>
      </c>
      <c r="Q31" s="282">
        <v>12259</v>
      </c>
      <c r="R31" s="16">
        <v>168</v>
      </c>
      <c r="S31" s="52">
        <f>P31+Q31+704</f>
        <v>15463</v>
      </c>
      <c r="T31" s="36">
        <v>343.24</v>
      </c>
      <c r="U31" s="17">
        <v>128.54</v>
      </c>
      <c r="V31" s="99">
        <v>136.25</v>
      </c>
      <c r="W31" s="18">
        <v>168</v>
      </c>
      <c r="X31" s="17">
        <f>Tabela1[[#This Row],[R$ TAXA FATURAMENTO]]*Tabela1[[#This Row],[HORAS TRABALHADAS2]]</f>
        <v>21594.719999999998</v>
      </c>
      <c r="Y31" s="301"/>
      <c r="AA31" s="100"/>
    </row>
    <row r="32" spans="1:27">
      <c r="A32" s="280">
        <v>196</v>
      </c>
      <c r="B32" s="280" t="s">
        <v>231</v>
      </c>
      <c r="C32" s="288" t="s">
        <v>232</v>
      </c>
      <c r="D32" s="101" t="s">
        <v>233</v>
      </c>
      <c r="E32" s="101"/>
      <c r="F32" s="280" t="s">
        <v>234</v>
      </c>
      <c r="G32" s="286" t="s">
        <v>169</v>
      </c>
      <c r="H32" s="11" t="s">
        <v>28</v>
      </c>
      <c r="I32" s="281" t="s">
        <v>29</v>
      </c>
      <c r="J32" s="12" t="s">
        <v>101</v>
      </c>
      <c r="K32" s="13">
        <v>44886</v>
      </c>
      <c r="L32" s="14"/>
      <c r="M32" s="15">
        <v>45923</v>
      </c>
      <c r="N32" s="15">
        <v>46287</v>
      </c>
      <c r="O32" s="58">
        <f ca="1">N32-TODAY()</f>
        <v>173</v>
      </c>
      <c r="P32" s="282">
        <v>2780.36</v>
      </c>
      <c r="Q32" s="282">
        <v>14166.58</v>
      </c>
      <c r="R32" s="16">
        <v>168</v>
      </c>
      <c r="S32" s="52">
        <f>P32+Q32+704</f>
        <v>17650.939999999999</v>
      </c>
      <c r="T32" s="36">
        <v>318.24</v>
      </c>
      <c r="U32" s="17">
        <v>190.48</v>
      </c>
      <c r="V32" s="99">
        <v>201.91</v>
      </c>
      <c r="W32" s="18">
        <v>168</v>
      </c>
      <c r="X32" s="17">
        <f>Tabela1[[#This Row],[R$ TAXA FATURAMENTO]]*Tabela1[[#This Row],[HORAS TRABALHADAS2]]</f>
        <v>32000.639999999999</v>
      </c>
      <c r="Y32" s="301"/>
    </row>
    <row r="33" spans="1:25">
      <c r="A33" s="280">
        <v>121</v>
      </c>
      <c r="B33" s="280" t="s">
        <v>71</v>
      </c>
      <c r="C33" s="330" t="s">
        <v>235</v>
      </c>
      <c r="D33" s="343" t="s">
        <v>236</v>
      </c>
      <c r="E33" s="330" t="s">
        <v>237</v>
      </c>
      <c r="F33" s="280" t="s">
        <v>238</v>
      </c>
      <c r="G33" s="280" t="s">
        <v>238</v>
      </c>
      <c r="H33" s="11" t="s">
        <v>28</v>
      </c>
      <c r="I33" s="281" t="s">
        <v>29</v>
      </c>
      <c r="J33" s="12" t="s">
        <v>101</v>
      </c>
      <c r="K33" s="13"/>
      <c r="L33" s="14"/>
      <c r="M33" s="15">
        <v>46099</v>
      </c>
      <c r="N33" s="15">
        <v>46288</v>
      </c>
      <c r="O33" s="15">
        <f ca="1">N33-TODAY()</f>
        <v>174</v>
      </c>
      <c r="P33" s="283"/>
      <c r="Q33" s="282"/>
      <c r="R33" s="283">
        <f>Tabela1[[#This Row],[R$ PAGAMENTO]]-Tabela1[[#This Row],[VALOR CLT]]</f>
        <v>0</v>
      </c>
      <c r="S33" s="283"/>
      <c r="T33" s="36"/>
      <c r="U33" s="17">
        <v>70.12</v>
      </c>
      <c r="V33" s="99">
        <v>70.12</v>
      </c>
      <c r="W33" s="18">
        <v>168</v>
      </c>
      <c r="X33" s="17">
        <f>Tabela1[[#This Row],[R$ TAXA FATURAMENTO]]*Tabela1[[#This Row],[HORAS TRABALHADAS2]]</f>
        <v>11780.16</v>
      </c>
      <c r="Y33" s="301"/>
    </row>
    <row r="34" spans="1:25">
      <c r="A34" s="280">
        <v>110</v>
      </c>
      <c r="B34" s="280" t="s">
        <v>239</v>
      </c>
      <c r="C34" s="273" t="s">
        <v>240</v>
      </c>
      <c r="D34" s="101" t="s">
        <v>241</v>
      </c>
      <c r="E34" s="101"/>
      <c r="F34" s="280" t="s">
        <v>230</v>
      </c>
      <c r="G34" s="286" t="s">
        <v>242</v>
      </c>
      <c r="H34" s="11" t="s">
        <v>45</v>
      </c>
      <c r="I34" s="281" t="s">
        <v>29</v>
      </c>
      <c r="J34" s="12" t="s">
        <v>101</v>
      </c>
      <c r="K34" s="13">
        <v>45957</v>
      </c>
      <c r="L34" s="19"/>
      <c r="M34" s="15">
        <v>45957</v>
      </c>
      <c r="N34" s="15">
        <v>46287</v>
      </c>
      <c r="O34" s="58">
        <f ca="1">N34-TODAY()</f>
        <v>173</v>
      </c>
      <c r="P34" s="282">
        <v>2500</v>
      </c>
      <c r="Q34" s="282">
        <v>10595.91</v>
      </c>
      <c r="R34" s="16">
        <v>168</v>
      </c>
      <c r="S34" s="52">
        <f>P34+Q34+704</f>
        <v>13799.91</v>
      </c>
      <c r="T34" s="36"/>
      <c r="U34" s="17"/>
      <c r="V34" s="99">
        <v>160.27000000000001</v>
      </c>
      <c r="W34" s="18">
        <v>168</v>
      </c>
      <c r="X34" s="17">
        <f>Tabela1[[#This Row],[Faturamento Renovação 2025]]*Tabela1[[#This Row],[HORAS TRABALHADAS2]]</f>
        <v>26925.360000000001</v>
      </c>
      <c r="Y34" s="301"/>
    </row>
    <row r="35" spans="1:25">
      <c r="A35" s="280">
        <v>124</v>
      </c>
      <c r="B35" s="280" t="s">
        <v>243</v>
      </c>
      <c r="C35" s="287" t="s">
        <v>244</v>
      </c>
      <c r="D35" s="101" t="s">
        <v>245</v>
      </c>
      <c r="E35" s="101"/>
      <c r="F35" s="280" t="s">
        <v>81</v>
      </c>
      <c r="G35" s="286" t="s">
        <v>246</v>
      </c>
      <c r="H35" s="11" t="s">
        <v>61</v>
      </c>
      <c r="I35" s="281" t="s">
        <v>29</v>
      </c>
      <c r="J35" s="12" t="s">
        <v>101</v>
      </c>
      <c r="K35" s="13">
        <v>45628</v>
      </c>
      <c r="L35" s="20" t="s">
        <v>247</v>
      </c>
      <c r="M35" s="15">
        <v>45923</v>
      </c>
      <c r="N35" s="15">
        <v>46287</v>
      </c>
      <c r="O35" s="58">
        <f ca="1">N35-TODAY()</f>
        <v>173</v>
      </c>
      <c r="P35" s="282">
        <v>2500</v>
      </c>
      <c r="Q35" s="282">
        <v>17327.5</v>
      </c>
      <c r="R35" s="16">
        <v>168</v>
      </c>
      <c r="S35" s="52">
        <f>P35+Q35+704</f>
        <v>20531.5</v>
      </c>
      <c r="T35" s="36"/>
      <c r="U35" s="17">
        <v>144.21</v>
      </c>
      <c r="V35" s="99">
        <v>170.59</v>
      </c>
      <c r="W35" s="18">
        <v>168</v>
      </c>
      <c r="X35" s="17">
        <f>Tabela1[[#This Row],[R$ TAXA FATURAMENTO]]*Tabela1[[#This Row],[HORAS TRABALHADAS2]]</f>
        <v>24227.280000000002</v>
      </c>
      <c r="Y35" s="302"/>
    </row>
    <row r="36" spans="1:25">
      <c r="A36" s="280">
        <v>162</v>
      </c>
      <c r="B36" s="280" t="s">
        <v>248</v>
      </c>
      <c r="C36" s="288" t="s">
        <v>249</v>
      </c>
      <c r="D36" s="101" t="s">
        <v>250</v>
      </c>
      <c r="E36" s="101"/>
      <c r="F36" s="280" t="s">
        <v>251</v>
      </c>
      <c r="G36" s="286" t="s">
        <v>251</v>
      </c>
      <c r="H36" s="11" t="s">
        <v>45</v>
      </c>
      <c r="I36" s="281" t="s">
        <v>29</v>
      </c>
      <c r="J36" s="12" t="s">
        <v>30</v>
      </c>
      <c r="K36" s="13">
        <v>46055</v>
      </c>
      <c r="L36" s="19"/>
      <c r="M36" s="15">
        <v>46055</v>
      </c>
      <c r="N36" s="15">
        <v>46295</v>
      </c>
      <c r="O36" s="58">
        <f ca="1">N36-TODAY()</f>
        <v>181</v>
      </c>
      <c r="P36" s="282">
        <v>2500</v>
      </c>
      <c r="Q36" s="282">
        <v>4547.91</v>
      </c>
      <c r="R36" s="16">
        <v>168</v>
      </c>
      <c r="S36" s="52">
        <f>P36+Q36+704</f>
        <v>7751.91</v>
      </c>
      <c r="T36" s="36"/>
      <c r="U36" s="17"/>
      <c r="V36" s="99">
        <v>110.77</v>
      </c>
      <c r="W36" s="18">
        <v>168</v>
      </c>
      <c r="X36" s="17">
        <f>Tabela1[[#This Row],[Faturamento Renovação 2025]]*Tabela1[[#This Row],[HORAS TRABALHADAS2]]</f>
        <v>18609.36</v>
      </c>
      <c r="Y36" s="301"/>
    </row>
    <row r="37" spans="1:25">
      <c r="A37" s="280">
        <v>174</v>
      </c>
      <c r="B37" s="280" t="s">
        <v>252</v>
      </c>
      <c r="C37" s="273" t="s">
        <v>253</v>
      </c>
      <c r="D37" s="101" t="s">
        <v>179</v>
      </c>
      <c r="E37" s="101" t="s">
        <v>138</v>
      </c>
      <c r="F37" s="280" t="s">
        <v>159</v>
      </c>
      <c r="G37" s="286" t="s">
        <v>222</v>
      </c>
      <c r="H37" s="11" t="s">
        <v>45</v>
      </c>
      <c r="I37" s="281" t="s">
        <v>29</v>
      </c>
      <c r="J37" s="12" t="s">
        <v>101</v>
      </c>
      <c r="K37" s="13">
        <v>44746</v>
      </c>
      <c r="L37" s="19"/>
      <c r="M37" s="15">
        <v>45962</v>
      </c>
      <c r="N37" s="15">
        <v>46288</v>
      </c>
      <c r="O37" s="58">
        <f ca="1">N37-TODAY()</f>
        <v>174</v>
      </c>
      <c r="P37" s="282">
        <v>2500</v>
      </c>
      <c r="Q37" s="282">
        <v>13259</v>
      </c>
      <c r="R37" s="16">
        <v>168</v>
      </c>
      <c r="S37" s="52">
        <f>P37+Q37+704</f>
        <v>16463</v>
      </c>
      <c r="T37" s="36">
        <v>164.16</v>
      </c>
      <c r="U37" s="17">
        <v>128.54</v>
      </c>
      <c r="V37" s="99">
        <v>136.25</v>
      </c>
      <c r="W37" s="18">
        <v>168</v>
      </c>
      <c r="X37" s="17">
        <f>Tabela1[[#This Row],[R$ TAXA FATURAMENTO]]*Tabela1[[#This Row],[HORAS TRABALHADAS2]]</f>
        <v>21594.719999999998</v>
      </c>
      <c r="Y37" s="301"/>
    </row>
    <row r="38" spans="1:25">
      <c r="A38" s="280"/>
      <c r="B38" s="101" t="s">
        <v>254</v>
      </c>
      <c r="C38" s="273" t="s">
        <v>255</v>
      </c>
      <c r="D38" s="101" t="s">
        <v>256</v>
      </c>
      <c r="E38" s="101"/>
      <c r="F38" s="280" t="s">
        <v>105</v>
      </c>
      <c r="G38" s="286" t="s">
        <v>213</v>
      </c>
      <c r="H38" s="11" t="s">
        <v>28</v>
      </c>
      <c r="I38" s="281" t="s">
        <v>29</v>
      </c>
      <c r="J38" s="12" t="s">
        <v>101</v>
      </c>
      <c r="K38" s="13">
        <v>45483</v>
      </c>
      <c r="L38" s="19"/>
      <c r="M38" s="15">
        <v>45922</v>
      </c>
      <c r="N38" s="15">
        <v>46286</v>
      </c>
      <c r="O38" s="58">
        <f ca="1">N38-TODAY()</f>
        <v>172</v>
      </c>
      <c r="P38" s="282">
        <v>3093.08</v>
      </c>
      <c r="Q38" s="282">
        <v>15638.9</v>
      </c>
      <c r="R38" s="16">
        <v>168</v>
      </c>
      <c r="S38" s="52">
        <f>P38+Q38+704</f>
        <v>19435.98</v>
      </c>
      <c r="T38" s="36"/>
      <c r="U38" s="17">
        <v>169.29</v>
      </c>
      <c r="V38" s="99">
        <v>179.45</v>
      </c>
      <c r="W38" s="18">
        <v>168</v>
      </c>
      <c r="X38" s="17">
        <f>Tabela1[[#This Row],[R$ TAXA FATURAMENTO]]*Tabela1[[#This Row],[HORAS TRABALHADAS2]]</f>
        <v>28440.719999999998</v>
      </c>
      <c r="Y38" s="301"/>
    </row>
    <row r="39" spans="1:25">
      <c r="A39" s="280"/>
      <c r="B39" s="280" t="s">
        <v>257</v>
      </c>
      <c r="C39" s="288" t="s">
        <v>258</v>
      </c>
      <c r="D39" s="101" t="s">
        <v>125</v>
      </c>
      <c r="E39" s="101" t="s">
        <v>259</v>
      </c>
      <c r="F39" s="280" t="s">
        <v>260</v>
      </c>
      <c r="G39" s="286" t="s">
        <v>260</v>
      </c>
      <c r="H39" s="11" t="s">
        <v>45</v>
      </c>
      <c r="I39" s="281" t="s">
        <v>29</v>
      </c>
      <c r="J39" s="12" t="s">
        <v>30</v>
      </c>
      <c r="K39" s="13">
        <v>46055</v>
      </c>
      <c r="L39" s="19"/>
      <c r="M39" s="15">
        <v>46055</v>
      </c>
      <c r="N39" s="15"/>
      <c r="O39" s="58">
        <f ca="1">N39-TODAY()</f>
        <v>-46114</v>
      </c>
      <c r="P39" s="282">
        <v>2775.4</v>
      </c>
      <c r="Q39" s="282">
        <v>5385.57</v>
      </c>
      <c r="R39" s="16">
        <v>168</v>
      </c>
      <c r="S39" s="52">
        <f>P39+Q39+704</f>
        <v>8864.9699999999993</v>
      </c>
      <c r="T39" s="36"/>
      <c r="U39" s="17"/>
      <c r="V39" s="99"/>
      <c r="W39" s="18"/>
      <c r="X39" s="17">
        <f>Tabela1[[#This Row],[R$ TAXA FATURAMENTO]]*Tabela1[[#This Row],[HORAS TRABALHADAS2]]</f>
        <v>0</v>
      </c>
      <c r="Y39" s="301"/>
    </row>
    <row r="40" spans="1:25">
      <c r="A40" s="280"/>
      <c r="B40" s="348" t="s">
        <v>261</v>
      </c>
      <c r="C40" s="287" t="s">
        <v>262</v>
      </c>
      <c r="D40" s="101" t="s">
        <v>203</v>
      </c>
      <c r="E40" s="101"/>
      <c r="F40" s="280" t="s">
        <v>263</v>
      </c>
      <c r="G40" s="286" t="s">
        <v>264</v>
      </c>
      <c r="H40" s="11" t="s">
        <v>28</v>
      </c>
      <c r="I40" s="281" t="s">
        <v>100</v>
      </c>
      <c r="J40" s="12" t="s">
        <v>101</v>
      </c>
      <c r="K40" s="13">
        <v>45026</v>
      </c>
      <c r="L40" s="285"/>
      <c r="M40" s="15">
        <v>45924</v>
      </c>
      <c r="N40" s="15">
        <v>46288</v>
      </c>
      <c r="O40" s="58">
        <f ca="1">N40-TODAY()</f>
        <v>174</v>
      </c>
      <c r="P40" s="282">
        <v>3498.65</v>
      </c>
      <c r="Q40" s="282">
        <v>26181.87</v>
      </c>
      <c r="R40" s="16">
        <v>168</v>
      </c>
      <c r="S40" s="52">
        <f>P40+Q40+704</f>
        <v>30384.52</v>
      </c>
      <c r="T40" s="36"/>
      <c r="U40" s="17">
        <v>236.17</v>
      </c>
      <c r="V40" s="99">
        <v>250.34</v>
      </c>
      <c r="W40" s="18">
        <v>168</v>
      </c>
      <c r="X40" s="17">
        <f>Tabela1[[#This Row],[R$ TAXA FATURAMENTO]]*Tabela1[[#This Row],[HORAS TRABALHADAS2]]</f>
        <v>39676.559999999998</v>
      </c>
      <c r="Y40" s="301"/>
    </row>
    <row r="41" spans="1:25">
      <c r="A41" s="280"/>
      <c r="B41" s="280" t="s">
        <v>265</v>
      </c>
      <c r="C41" s="288" t="s">
        <v>266</v>
      </c>
      <c r="D41" s="101" t="s">
        <v>114</v>
      </c>
      <c r="E41" s="330" t="s">
        <v>115</v>
      </c>
      <c r="F41" s="280" t="s">
        <v>267</v>
      </c>
      <c r="G41" s="286" t="s">
        <v>267</v>
      </c>
      <c r="H41" s="11" t="s">
        <v>45</v>
      </c>
      <c r="I41" s="281" t="s">
        <v>29</v>
      </c>
      <c r="J41" s="12" t="s">
        <v>101</v>
      </c>
      <c r="K41" s="13">
        <v>46034</v>
      </c>
      <c r="L41" s="19"/>
      <c r="M41" s="15">
        <v>46034</v>
      </c>
      <c r="N41" s="15">
        <v>46287</v>
      </c>
      <c r="O41" s="58">
        <f ca="1">N41-TODAY()</f>
        <v>173</v>
      </c>
      <c r="P41" s="282">
        <v>2500</v>
      </c>
      <c r="Q41" s="282">
        <v>8915.91</v>
      </c>
      <c r="R41" s="16">
        <v>168</v>
      </c>
      <c r="S41" s="52">
        <f>P41+Q41+704</f>
        <v>12119.91</v>
      </c>
      <c r="T41" s="36"/>
      <c r="U41" s="17"/>
      <c r="V41" s="99">
        <v>136</v>
      </c>
      <c r="W41" s="18">
        <v>168</v>
      </c>
      <c r="X41" s="17">
        <f>Tabela1[[#This Row],[HORAS TRABALHADAS2]]*Tabela1[[#This Row],[Faturamento Renovação 2025]]</f>
        <v>22848</v>
      </c>
      <c r="Y41" s="301"/>
    </row>
    <row r="42" spans="1:25">
      <c r="A42" s="280"/>
      <c r="B42" s="280" t="s">
        <v>268</v>
      </c>
      <c r="C42" s="288" t="s">
        <v>269</v>
      </c>
      <c r="D42" s="101" t="s">
        <v>114</v>
      </c>
      <c r="E42" s="330" t="s">
        <v>115</v>
      </c>
      <c r="F42" s="280" t="s">
        <v>133</v>
      </c>
      <c r="G42" s="286" t="s">
        <v>270</v>
      </c>
      <c r="H42" s="11" t="s">
        <v>28</v>
      </c>
      <c r="I42" s="281" t="s">
        <v>29</v>
      </c>
      <c r="J42" s="12" t="s">
        <v>101</v>
      </c>
      <c r="K42" s="13">
        <v>45519</v>
      </c>
      <c r="L42" s="19"/>
      <c r="M42" s="15">
        <v>45921</v>
      </c>
      <c r="N42" s="15">
        <v>46286</v>
      </c>
      <c r="O42" s="58">
        <f ca="1">N42-TODAY()</f>
        <v>172</v>
      </c>
      <c r="P42" s="282">
        <v>2830.59</v>
      </c>
      <c r="Q42" s="282">
        <v>12588.58</v>
      </c>
      <c r="R42" s="16">
        <v>168</v>
      </c>
      <c r="S42" s="52">
        <f>P42+Q42+704</f>
        <v>16123.17</v>
      </c>
      <c r="T42" s="36"/>
      <c r="U42" s="17">
        <v>169.29</v>
      </c>
      <c r="V42" s="99">
        <v>179.45</v>
      </c>
      <c r="W42" s="18">
        <v>168</v>
      </c>
      <c r="X42" s="17">
        <f>Tabela1[[#This Row],[R$ TAXA FATURAMENTO]]*Tabela1[[#This Row],[HORAS TRABALHADAS2]]</f>
        <v>28440.719999999998</v>
      </c>
      <c r="Y42" s="301"/>
    </row>
    <row r="43" spans="1:25">
      <c r="B43" s="303">
        <v>42</v>
      </c>
      <c r="C43" s="303"/>
      <c r="D43" s="304"/>
      <c r="E43" s="304"/>
      <c r="F43" s="303"/>
      <c r="G43" s="303"/>
      <c r="H43" s="305"/>
      <c r="I43" s="306"/>
      <c r="J43" s="305"/>
      <c r="K43" s="307"/>
      <c r="L43" s="308"/>
      <c r="M43" s="309"/>
      <c r="N43" s="309"/>
      <c r="O43" s="309">
        <f t="shared" ref="O43" ca="1" si="0">N43-TODAY()</f>
        <v>-46114</v>
      </c>
      <c r="P43" s="310"/>
      <c r="Q43" s="311"/>
      <c r="R43" s="311" t="e">
        <f>Tabela1[[#This Row],[R$ PAGAMENTO]]-Tabela1[[#This Row],[VALOR CLT]]</f>
        <v>#VALUE!</v>
      </c>
      <c r="S43" s="310"/>
      <c r="T43" s="312"/>
      <c r="U43" s="313"/>
      <c r="V43" s="314"/>
      <c r="W43" s="315"/>
      <c r="X43" s="313" t="e">
        <f>Tabela1[[#This Row],[R$ TAXA FATURAMENTO]]*Tabela1[[#This Row],[HORAS TRABALHADAS2]]</f>
        <v>#VALUE!</v>
      </c>
      <c r="Y43" s="301"/>
    </row>
    <row r="44" spans="1:25" ht="15" customHeight="1">
      <c r="V44" s="100"/>
    </row>
    <row r="45" spans="1:25" ht="15" customHeight="1">
      <c r="V45" s="100"/>
    </row>
    <row r="46" spans="1:25" ht="15" customHeight="1">
      <c r="C46" s="75"/>
      <c r="V46" s="100"/>
    </row>
    <row r="47" spans="1:25" ht="15" customHeight="1">
      <c r="V47" s="100"/>
    </row>
    <row r="48" spans="1:25" ht="15" customHeight="1">
      <c r="V48" s="100"/>
    </row>
    <row r="49" spans="22:22" ht="15" customHeight="1">
      <c r="V49" s="100"/>
    </row>
  </sheetData>
  <phoneticPr fontId="35" type="noConversion"/>
  <conditionalFormatting sqref="O5:O42">
    <cfRule type="iconSet" priority="64">
      <iconSet iconSet="3Symbols">
        <cfvo type="percent" val="0"/>
        <cfvo type="num" val="30"/>
        <cfvo type="num" val="60"/>
      </iconSet>
    </cfRule>
  </conditionalFormatting>
  <hyperlinks>
    <hyperlink ref="C6" r:id="rId1" display="ajuliao.taking@livelo.com.br / adryel.juliao@taking.com.br" xr:uid="{BB4AE342-CC6F-4F38-939C-18AE3DF0C14C}"/>
    <hyperlink ref="C9" r:id="rId2" xr:uid="{E253FAC0-0363-42D0-B5BB-260AAC147873}"/>
    <hyperlink ref="C8" r:id="rId3" xr:uid="{21D1B1A7-AF17-45D6-BEA9-C9520D6F5011}"/>
    <hyperlink ref="C12" r:id="rId4" xr:uid="{80B7DB7A-BD75-4534-B6F1-67D4781F87D5}"/>
    <hyperlink ref="C15" r:id="rId5" xr:uid="{E0A126A2-C0BF-44A7-BF58-05B89223AA22}"/>
    <hyperlink ref="C18" r:id="rId6" xr:uid="{A4B09B0A-53FD-4DFC-89E9-8A9BBADC8D93}"/>
    <hyperlink ref="C17" r:id="rId7" xr:uid="{55131852-31BF-4FF9-9573-62FE64ECCA14}"/>
    <hyperlink ref="C21" r:id="rId8" xr:uid="{98D9008C-AC64-44A0-BD61-D55C4B6D6419}"/>
    <hyperlink ref="C23" r:id="rId9" xr:uid="{1A403540-9CCB-4B46-B62D-C5F50A450CB5}"/>
    <hyperlink ref="C19" r:id="rId10" xr:uid="{57220B9A-8C01-41E6-9ADC-6AB1BAC3B677}"/>
    <hyperlink ref="C13" r:id="rId11" xr:uid="{329DAE85-0624-436A-B5A4-D11B83F2909D}"/>
    <hyperlink ref="C14" r:id="rId12" xr:uid="{721ACE28-615C-48D2-AEE5-1FF21B0291E7}"/>
    <hyperlink ref="C22" r:id="rId13" xr:uid="{512CCC90-7FD0-40F1-8D1D-C4E5D9052A2B}"/>
    <hyperlink ref="C27" r:id="rId14" xr:uid="{DD7641FE-4ADA-45F7-8C9F-7C6189CA771D}"/>
    <hyperlink ref="C26" r:id="rId15" display="hsuel.taking@livelo.com.br / henrique.suel@taking.com.br" xr:uid="{F9D57B23-FF93-4B93-825A-98B3D1048361}"/>
    <hyperlink ref="C28" r:id="rId16" xr:uid="{C61CAE47-E4CB-4715-85F9-3FDE92F889AF}"/>
    <hyperlink ref="C35" r:id="rId17" xr:uid="{B83671BE-B96F-46BA-B1EB-BC220F31D4BD}"/>
    <hyperlink ref="C29" r:id="rId18" xr:uid="{DE724B8B-92CA-4C95-A42A-EAD85E96F072}"/>
    <hyperlink ref="C32" r:id="rId19" xr:uid="{CCA2810F-6BA9-429D-B2C9-989283A26302}"/>
    <hyperlink ref="C30" r:id="rId20" xr:uid="{8CF7A968-15C1-4976-A2D5-3A8252F641DA}"/>
    <hyperlink ref="C31" r:id="rId21" display="jmelo.taking@livelo.com.br / jose.melo@taking.com.br" xr:uid="{38864F3A-9FF1-457D-94FB-7143D31EE7EB}"/>
    <hyperlink ref="C37" r:id="rId22" xr:uid="{B615BD26-3228-469B-9D08-C1479B31C195}"/>
    <hyperlink ref="C38" r:id="rId23" xr:uid="{F37CB40A-0310-471C-AE39-F4DBEA50E097}"/>
    <hyperlink ref="C40" r:id="rId24" xr:uid="{310C4AF2-8DF6-49D2-9CB6-C551862A7D65}"/>
    <hyperlink ref="C25" r:id="rId25" xr:uid="{09DEEFA7-CA55-4B4C-A336-32EBA4EF4119}"/>
    <hyperlink ref="C5" r:id="rId26" xr:uid="{B22E3DB1-669C-48EF-88EE-6F081186E1A8}"/>
    <hyperlink ref="B34" r:id="rId27" xr:uid="{BA2EB691-BE3A-4174-A1F2-BAF455030492}"/>
    <hyperlink ref="C34" r:id="rId28" xr:uid="{F15AB7D5-2699-4105-95A3-1E6508523A93}"/>
    <hyperlink ref="C41" r:id="rId29" display="mailto:victor.casagrande@taking.com.br" xr:uid="{179C2EF9-D891-4B2F-A5EB-A9849C2BAE75}"/>
    <hyperlink ref="C20" r:id="rId30" xr:uid="{D7CDB923-7FA6-4CA0-AD4E-3C44A8F05570}"/>
    <hyperlink ref="C42" r:id="rId31" xr:uid="{5DC77BDA-B62A-4ABB-A10A-D165AEA92395}"/>
    <hyperlink ref="E5" r:id="rId32" xr:uid="{EFF02DA2-6DB2-47DE-9C9D-1F25799381C9}"/>
    <hyperlink ref="E6" r:id="rId33" xr:uid="{113F47C5-A535-4F50-9E26-8BF7A5AE084D}"/>
    <hyperlink ref="E8" r:id="rId34" xr:uid="{6FA53809-93D9-4019-BEB3-52BC395FAF60}"/>
    <hyperlink ref="E11" r:id="rId35" xr:uid="{75EDEA54-156F-47C5-B08F-95DE5EB92D39}"/>
    <hyperlink ref="E41" r:id="rId36" xr:uid="{A7FD21AE-5090-476B-B9B6-A71636213C75}"/>
    <hyperlink ref="E42" r:id="rId37" xr:uid="{C641ED14-8AD3-4474-8C7B-892086D3CCC4}"/>
    <hyperlink ref="E12" r:id="rId38" xr:uid="{88050602-6407-47F3-98BB-48C34818BFDE}"/>
    <hyperlink ref="E20" r:id="rId39" xr:uid="{B57F4D2D-580B-45BF-98C8-B97D21E60265}"/>
    <hyperlink ref="E13" r:id="rId40" xr:uid="{739EE7FE-83B5-4A77-A919-2A2F11FB8B4A}"/>
    <hyperlink ref="C33" r:id="rId41" xr:uid="{AF7E00E2-C97A-4B4C-815F-A49FE39684FD}"/>
    <hyperlink ref="E33" r:id="rId42" xr:uid="{4D7681CB-EE0F-435D-AD1B-8B1A789B634B}"/>
    <hyperlink ref="E7" r:id="rId43" xr:uid="{49DA690B-8B56-4319-95C1-4B401525A6AF}"/>
    <hyperlink ref="E10" r:id="rId44" xr:uid="{BA63E596-CAD5-4C6F-B915-208C6D4E7ED4}"/>
    <hyperlink ref="E16" r:id="rId45" xr:uid="{FD4E62E1-B1D4-4521-961B-260F7CE3D8D0}"/>
    <hyperlink ref="E17" r:id="rId46" xr:uid="{01805D65-B418-4370-AE30-56BD2D3811E3}"/>
    <hyperlink ref="E21" r:id="rId47" xr:uid="{E32A819F-B4B1-475B-AE84-044D5FC897C1}"/>
    <hyperlink ref="E23" r:id="rId48" xr:uid="{E867B775-A4CB-47D3-ACCD-3920C6682375}"/>
    <hyperlink ref="E27" r:id="rId49" xr:uid="{62E7E35C-8B3C-4D43-9277-312B68467251}"/>
  </hyperlinks>
  <pageMargins left="0.511811024" right="0.511811024" top="0.78740157499999996" bottom="0.78740157499999996" header="0.31496062000000002" footer="0.31496062000000002"/>
  <drawing r:id="rId50"/>
  <legacyDrawing r:id="rId51"/>
  <tableParts count="1">
    <tablePart r:id="rId5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12D5D-B8DD-471B-ADF9-610A2D9EBAF4}">
  <sheetPr>
    <tabColor theme="3" tint="0.749992370372631"/>
  </sheetPr>
  <dimension ref="A1:AB27"/>
  <sheetViews>
    <sheetView tabSelected="1" topLeftCell="C1" workbookViewId="0">
      <selection activeCell="N7" sqref="N7"/>
    </sheetView>
  </sheetViews>
  <sheetFormatPr defaultColWidth="8.140625" defaultRowHeight="15"/>
  <cols>
    <col min="1" max="1" width="5.42578125" customWidth="1"/>
    <col min="2" max="2" width="39" bestFit="1" customWidth="1"/>
    <col min="3" max="3" width="33.85546875" customWidth="1"/>
    <col min="4" max="4" width="33.140625" customWidth="1"/>
    <col min="5" max="5" width="34.42578125" customWidth="1"/>
    <col min="6" max="6" width="31.28515625" customWidth="1"/>
    <col min="7" max="7" width="14.28515625" customWidth="1"/>
    <col min="8" max="8" width="21.7109375" customWidth="1"/>
    <col min="9" max="9" width="12.7109375" customWidth="1"/>
    <col min="10" max="10" width="14.85546875" customWidth="1"/>
    <col min="11" max="11" width="19.85546875" customWidth="1"/>
    <col min="12" max="12" width="21.7109375" customWidth="1"/>
    <col min="13" max="13" width="21.5703125" customWidth="1"/>
    <col min="14" max="14" width="18.5703125" customWidth="1"/>
    <col min="15" max="15" width="14.28515625" customWidth="1"/>
    <col min="16" max="16" width="19.85546875" bestFit="1" customWidth="1"/>
    <col min="17" max="17" width="20.85546875" bestFit="1" customWidth="1"/>
    <col min="18" max="18" width="24" bestFit="1" customWidth="1"/>
    <col min="19" max="19" width="26" bestFit="1" customWidth="1"/>
    <col min="20" max="20" width="22.140625" bestFit="1" customWidth="1"/>
    <col min="21" max="21" width="22.140625" customWidth="1"/>
    <col min="22" max="22" width="21.7109375" bestFit="1" customWidth="1"/>
    <col min="23" max="23" width="28.7109375" bestFit="1" customWidth="1"/>
    <col min="24" max="24" width="30.7109375" bestFit="1" customWidth="1"/>
    <col min="27" max="27" width="13" customWidth="1"/>
    <col min="28" max="28" width="16.7109375" customWidth="1"/>
  </cols>
  <sheetData>
    <row r="1" spans="1:28" s="1" customFormat="1"/>
    <row r="2" spans="1:28" s="1" customFormat="1"/>
    <row r="3" spans="1:28" s="3" customFormat="1"/>
    <row r="4" spans="1:28" s="2" customFormat="1">
      <c r="A4" s="5" t="s">
        <v>0</v>
      </c>
      <c r="B4" s="6" t="s">
        <v>1</v>
      </c>
      <c r="C4" s="6" t="s">
        <v>2</v>
      </c>
      <c r="D4" s="6" t="s">
        <v>3</v>
      </c>
      <c r="E4" s="6" t="s">
        <v>108</v>
      </c>
      <c r="F4" s="6" t="s">
        <v>109</v>
      </c>
      <c r="G4" s="6" t="s">
        <v>6</v>
      </c>
      <c r="H4" s="6" t="s">
        <v>7</v>
      </c>
      <c r="I4" s="6" t="s">
        <v>8</v>
      </c>
      <c r="J4" s="277" t="s">
        <v>9</v>
      </c>
      <c r="K4" s="277" t="s">
        <v>10</v>
      </c>
      <c r="L4" s="6" t="s">
        <v>11</v>
      </c>
      <c r="M4" s="6" t="s">
        <v>12</v>
      </c>
      <c r="N4" s="6" t="s">
        <v>13</v>
      </c>
      <c r="O4" s="6" t="s">
        <v>271</v>
      </c>
      <c r="P4" s="6" t="s">
        <v>14</v>
      </c>
      <c r="Q4" s="6" t="s">
        <v>15</v>
      </c>
      <c r="R4" s="6" t="s">
        <v>16</v>
      </c>
      <c r="S4" s="6" t="s">
        <v>272</v>
      </c>
      <c r="T4" s="6" t="s">
        <v>18</v>
      </c>
      <c r="U4" s="278" t="s">
        <v>273</v>
      </c>
      <c r="V4" s="278" t="s">
        <v>20</v>
      </c>
      <c r="W4" s="6" t="s">
        <v>21</v>
      </c>
      <c r="X4" s="279" t="s">
        <v>22</v>
      </c>
      <c r="Y4" s="6" t="s">
        <v>111</v>
      </c>
    </row>
    <row r="5" spans="1:28">
      <c r="A5" s="22">
        <v>79</v>
      </c>
      <c r="B5" s="289" t="s">
        <v>274</v>
      </c>
      <c r="C5" s="275" t="s">
        <v>275</v>
      </c>
      <c r="D5" s="289" t="s">
        <v>276</v>
      </c>
      <c r="E5" s="23" t="s">
        <v>277</v>
      </c>
      <c r="F5" s="329" t="s">
        <v>277</v>
      </c>
      <c r="G5" s="23" t="s">
        <v>61</v>
      </c>
      <c r="H5" s="23" t="s">
        <v>29</v>
      </c>
      <c r="I5" s="23" t="s">
        <v>278</v>
      </c>
      <c r="J5" s="24">
        <v>44718</v>
      </c>
      <c r="K5" s="23"/>
      <c r="L5" s="24">
        <v>45809</v>
      </c>
      <c r="M5" s="24">
        <v>46173</v>
      </c>
      <c r="N5" s="58">
        <f t="shared" ref="N5:N24" ca="1" si="0">M5-TODAY()</f>
        <v>59</v>
      </c>
      <c r="O5" s="57">
        <v>139.35</v>
      </c>
      <c r="P5" s="57"/>
      <c r="Q5" s="25"/>
      <c r="R5" s="23">
        <v>168</v>
      </c>
      <c r="S5" s="26">
        <f>Tabela2[[#This Row],[VALOR HORA]]*Tabela2[[#This Row],[HORAS TRABALHADAS]]</f>
        <v>23410.799999999999</v>
      </c>
      <c r="T5" s="26">
        <v>257.76</v>
      </c>
      <c r="U5" s="27">
        <v>191.48</v>
      </c>
      <c r="V5" s="27">
        <v>202.97</v>
      </c>
      <c r="W5" s="28">
        <v>168</v>
      </c>
      <c r="X5" s="29">
        <f>Tabela2[[#This Row],[Faturamento Renovação 2025]]*Tabela2[[#This Row],[HORAS TRABALHADAS2]]</f>
        <v>34098.959999999999</v>
      </c>
      <c r="Y5" s="299"/>
    </row>
    <row r="6" spans="1:28">
      <c r="A6" s="23">
        <v>190</v>
      </c>
      <c r="B6" s="345" t="s">
        <v>279</v>
      </c>
      <c r="C6" s="292" t="s">
        <v>280</v>
      </c>
      <c r="D6" s="289" t="s">
        <v>281</v>
      </c>
      <c r="E6" s="23" t="s">
        <v>282</v>
      </c>
      <c r="F6" s="23" t="s">
        <v>283</v>
      </c>
      <c r="G6" s="23" t="s">
        <v>28</v>
      </c>
      <c r="H6" s="23" t="s">
        <v>100</v>
      </c>
      <c r="I6" s="23" t="s">
        <v>101</v>
      </c>
      <c r="J6" s="24">
        <v>45769</v>
      </c>
      <c r="K6" s="23"/>
      <c r="L6" s="24">
        <v>46113</v>
      </c>
      <c r="M6" s="328">
        <v>46295</v>
      </c>
      <c r="N6" s="58">
        <f t="shared" ca="1" si="0"/>
        <v>181</v>
      </c>
      <c r="O6" s="25"/>
      <c r="P6" s="25">
        <v>3103.55</v>
      </c>
      <c r="Q6" s="25">
        <v>13317.06</v>
      </c>
      <c r="R6" s="23">
        <v>168</v>
      </c>
      <c r="S6" s="52">
        <f>P6+Q6+704</f>
        <v>17124.61</v>
      </c>
      <c r="T6" s="26"/>
      <c r="U6" s="27">
        <v>152.57</v>
      </c>
      <c r="V6" s="27">
        <v>161.72</v>
      </c>
      <c r="W6" s="28">
        <v>168</v>
      </c>
      <c r="X6" s="29">
        <f>Tabela2[[#This Row],[Faturamento Renovação 2025]]*168</f>
        <v>27168.959999999999</v>
      </c>
      <c r="Y6" s="299"/>
    </row>
    <row r="7" spans="1:28" ht="16.5" customHeight="1">
      <c r="A7" s="22">
        <v>198</v>
      </c>
      <c r="B7" s="289" t="s">
        <v>284</v>
      </c>
      <c r="C7" s="290" t="s">
        <v>285</v>
      </c>
      <c r="D7" s="289" t="s">
        <v>276</v>
      </c>
      <c r="E7" s="23" t="s">
        <v>277</v>
      </c>
      <c r="F7" s="23" t="s">
        <v>286</v>
      </c>
      <c r="G7" s="23" t="s">
        <v>28</v>
      </c>
      <c r="H7" s="23" t="s">
        <v>29</v>
      </c>
      <c r="I7" s="23" t="s">
        <v>278</v>
      </c>
      <c r="J7" s="24">
        <v>45467</v>
      </c>
      <c r="K7" s="31"/>
      <c r="L7" s="24">
        <v>46157</v>
      </c>
      <c r="M7" s="24">
        <v>46288</v>
      </c>
      <c r="N7" s="58">
        <f t="shared" ca="1" si="0"/>
        <v>174</v>
      </c>
      <c r="O7" s="57">
        <v>110.24</v>
      </c>
      <c r="P7" s="57"/>
      <c r="Q7" s="25"/>
      <c r="R7" s="23">
        <v>168</v>
      </c>
      <c r="S7" s="26">
        <f>Tabela2[[#This Row],[VALOR HORA]]*Tabela2[[#This Row],[HORAS TRABALHADAS]]</f>
        <v>18520.32</v>
      </c>
      <c r="T7" s="26"/>
      <c r="U7" s="27">
        <v>159.38999999999999</v>
      </c>
      <c r="V7" s="27">
        <v>168.95</v>
      </c>
      <c r="W7" s="28">
        <v>168</v>
      </c>
      <c r="X7" s="29">
        <f>Tabela2[[#This Row],[Faturamento Renovação 2025]]*Tabela2[[#This Row],[HORAS TRABALHADAS2]]</f>
        <v>28383.599999999999</v>
      </c>
      <c r="Y7" s="299"/>
    </row>
    <row r="8" spans="1:28">
      <c r="A8" s="23">
        <v>88</v>
      </c>
      <c r="B8" s="289" t="s">
        <v>287</v>
      </c>
      <c r="C8" s="273" t="s">
        <v>288</v>
      </c>
      <c r="D8" s="289" t="s">
        <v>289</v>
      </c>
      <c r="E8" s="23" t="s">
        <v>277</v>
      </c>
      <c r="F8" s="23" t="s">
        <v>290</v>
      </c>
      <c r="G8" s="23" t="s">
        <v>291</v>
      </c>
      <c r="H8" s="23" t="s">
        <v>29</v>
      </c>
      <c r="I8" s="23" t="s">
        <v>278</v>
      </c>
      <c r="J8" s="24">
        <v>44690</v>
      </c>
      <c r="K8" s="33"/>
      <c r="L8" s="24">
        <v>45717</v>
      </c>
      <c r="M8" s="295">
        <v>46081</v>
      </c>
      <c r="N8" s="58">
        <f t="shared" ca="1" si="0"/>
        <v>-33</v>
      </c>
      <c r="O8" s="57">
        <v>154.5</v>
      </c>
      <c r="P8" s="57"/>
      <c r="Q8" s="25"/>
      <c r="R8" s="23">
        <v>168</v>
      </c>
      <c r="S8" s="26">
        <f>Tabela2[[#This Row],[VALOR HORA]]*Tabela2[[#This Row],[HORAS TRABALHADAS]]</f>
        <v>25956</v>
      </c>
      <c r="T8" s="26">
        <v>257.76</v>
      </c>
      <c r="U8" s="27">
        <v>212.16</v>
      </c>
      <c r="V8" s="27">
        <v>224.89</v>
      </c>
      <c r="W8" s="28">
        <v>168</v>
      </c>
      <c r="X8" s="29">
        <f>Tabela2[[#This Row],[Faturamento Renovação 2025]]*Tabela2[[#This Row],[HORAS TRABALHADAS2]]</f>
        <v>37781.519999999997</v>
      </c>
      <c r="Y8" s="299"/>
    </row>
    <row r="9" spans="1:28">
      <c r="A9" s="23">
        <v>87</v>
      </c>
      <c r="B9" s="345" t="s">
        <v>292</v>
      </c>
      <c r="C9" s="274" t="s">
        <v>293</v>
      </c>
      <c r="D9" s="289" t="s">
        <v>294</v>
      </c>
      <c r="E9" s="26" t="s">
        <v>277</v>
      </c>
      <c r="F9" s="23" t="s">
        <v>295</v>
      </c>
      <c r="G9" s="23" t="s">
        <v>70</v>
      </c>
      <c r="H9" s="26" t="s">
        <v>100</v>
      </c>
      <c r="I9" s="23" t="s">
        <v>101</v>
      </c>
      <c r="J9" s="24">
        <v>45831</v>
      </c>
      <c r="K9" s="26"/>
      <c r="L9" s="102">
        <v>45831</v>
      </c>
      <c r="M9" s="102">
        <v>46195</v>
      </c>
      <c r="N9" s="58">
        <f t="shared" ca="1" si="0"/>
        <v>81</v>
      </c>
      <c r="O9" s="26"/>
      <c r="P9" s="25">
        <v>2500</v>
      </c>
      <c r="Q9" s="25">
        <v>3035.91</v>
      </c>
      <c r="R9" s="23">
        <v>168</v>
      </c>
      <c r="S9" s="52">
        <f>P9+Q9+704</f>
        <v>6239.91</v>
      </c>
      <c r="T9" s="26"/>
      <c r="U9" s="27">
        <v>111.78</v>
      </c>
      <c r="V9" s="27">
        <v>118.49</v>
      </c>
      <c r="W9" s="28">
        <v>168</v>
      </c>
      <c r="X9" s="29">
        <f>Tabela2[[#This Row],[Faturamento Renovação 2025]]*Tabela2[[#This Row],[HORAS TRABALHADAS2]]</f>
        <v>19906.32</v>
      </c>
      <c r="Y9" s="299"/>
    </row>
    <row r="10" spans="1:28">
      <c r="A10" s="23">
        <v>104</v>
      </c>
      <c r="B10" s="289" t="s">
        <v>296</v>
      </c>
      <c r="C10" s="275" t="s">
        <v>297</v>
      </c>
      <c r="D10" s="289" t="s">
        <v>294</v>
      </c>
      <c r="E10" s="23" t="s">
        <v>277</v>
      </c>
      <c r="F10" s="23" t="s">
        <v>298</v>
      </c>
      <c r="G10" s="23" t="s">
        <v>299</v>
      </c>
      <c r="H10" s="23" t="s">
        <v>29</v>
      </c>
      <c r="I10" s="23" t="s">
        <v>278</v>
      </c>
      <c r="J10" s="24">
        <v>45566</v>
      </c>
      <c r="K10" s="23"/>
      <c r="L10" s="24">
        <v>45923</v>
      </c>
      <c r="M10" s="24">
        <v>46287</v>
      </c>
      <c r="N10" s="58">
        <f t="shared" ca="1" si="0"/>
        <v>173</v>
      </c>
      <c r="O10" s="57">
        <v>130</v>
      </c>
      <c r="P10" s="57"/>
      <c r="Q10" s="25"/>
      <c r="R10" s="23">
        <v>168</v>
      </c>
      <c r="S10" s="26">
        <f>Tabela2[[#This Row],[VALOR HORA]]*Tabela2[[#This Row],[HORAS TRABALHADAS]]</f>
        <v>21840</v>
      </c>
      <c r="T10" s="26"/>
      <c r="U10" s="27">
        <v>191.48</v>
      </c>
      <c r="V10" s="27">
        <v>202.97</v>
      </c>
      <c r="W10" s="28">
        <v>168</v>
      </c>
      <c r="X10" s="29">
        <f>Tabela2[[#This Row],[Faturamento Renovação 2025]]*Tabela2[[#This Row],[HORAS TRABALHADAS2]]</f>
        <v>34098.959999999999</v>
      </c>
      <c r="Y10" s="299"/>
    </row>
    <row r="11" spans="1:28">
      <c r="A11" s="23">
        <v>64</v>
      </c>
      <c r="B11" s="289" t="s">
        <v>300</v>
      </c>
      <c r="C11" s="275" t="s">
        <v>301</v>
      </c>
      <c r="D11" s="289" t="s">
        <v>276</v>
      </c>
      <c r="E11" s="23" t="s">
        <v>277</v>
      </c>
      <c r="F11" s="23" t="s">
        <v>295</v>
      </c>
      <c r="G11" s="23" t="s">
        <v>302</v>
      </c>
      <c r="H11" s="23" t="s">
        <v>29</v>
      </c>
      <c r="I11" s="23" t="s">
        <v>303</v>
      </c>
      <c r="J11" s="24">
        <v>45351</v>
      </c>
      <c r="K11" s="23"/>
      <c r="L11" s="24">
        <v>45779</v>
      </c>
      <c r="M11" s="24">
        <v>46143</v>
      </c>
      <c r="N11" s="58">
        <f t="shared" ca="1" si="0"/>
        <v>29</v>
      </c>
      <c r="O11" s="57">
        <v>68</v>
      </c>
      <c r="P11" s="57"/>
      <c r="Q11" s="25"/>
      <c r="R11" s="23">
        <v>168</v>
      </c>
      <c r="S11" s="26">
        <f>Tabela2[[#This Row],[VALOR HORA]]*Tabela2[[#This Row],[HORAS TRABALHADAS]]</f>
        <v>11424</v>
      </c>
      <c r="T11" s="26"/>
      <c r="U11" s="27">
        <v>111.78</v>
      </c>
      <c r="V11" s="27">
        <v>118.49</v>
      </c>
      <c r="W11" s="28">
        <v>168</v>
      </c>
      <c r="X11" s="29">
        <f>Tabela2[[#This Row],[Faturamento Renovação 2025]]*Tabela2[[#This Row],[HORAS TRABALHADAS2]]</f>
        <v>19906.32</v>
      </c>
      <c r="Y11" s="299"/>
    </row>
    <row r="12" spans="1:28">
      <c r="A12" s="23">
        <v>184</v>
      </c>
      <c r="B12" s="345" t="s">
        <v>304</v>
      </c>
      <c r="C12" s="273" t="s">
        <v>305</v>
      </c>
      <c r="D12" s="289" t="s">
        <v>306</v>
      </c>
      <c r="E12" s="23" t="s">
        <v>307</v>
      </c>
      <c r="F12" s="23" t="s">
        <v>308</v>
      </c>
      <c r="G12" s="23" t="s">
        <v>309</v>
      </c>
      <c r="H12" s="23" t="s">
        <v>29</v>
      </c>
      <c r="I12" s="23" t="s">
        <v>278</v>
      </c>
      <c r="J12" s="24">
        <v>44626</v>
      </c>
      <c r="K12" s="23"/>
      <c r="L12" s="24">
        <v>46103</v>
      </c>
      <c r="M12" s="328">
        <v>46288</v>
      </c>
      <c r="N12" s="58">
        <f t="shared" ca="1" si="0"/>
        <v>174</v>
      </c>
      <c r="O12" s="57">
        <v>115</v>
      </c>
      <c r="P12" s="57"/>
      <c r="Q12" s="25"/>
      <c r="R12" s="23">
        <v>168</v>
      </c>
      <c r="S12" s="26">
        <f>Tabela2[[#This Row],[VALOR HORA]]*Tabela2[[#This Row],[HORAS TRABALHADAS]]</f>
        <v>19320</v>
      </c>
      <c r="T12" s="26">
        <v>313.24</v>
      </c>
      <c r="U12" s="27">
        <v>178</v>
      </c>
      <c r="V12" s="27">
        <v>188.68</v>
      </c>
      <c r="W12" s="28">
        <v>168</v>
      </c>
      <c r="X12" s="29">
        <f>Tabela2[[#This Row],[Faturamento Renovação 2025]]*Tabela2[[#This Row],[HORAS TRABALHADAS2]]</f>
        <v>31698.240000000002</v>
      </c>
      <c r="Y12" s="299" t="s">
        <v>310</v>
      </c>
    </row>
    <row r="13" spans="1:28">
      <c r="A13" s="23">
        <v>105</v>
      </c>
      <c r="B13" s="289" t="s">
        <v>311</v>
      </c>
      <c r="C13" s="291" t="s">
        <v>312</v>
      </c>
      <c r="D13" s="289" t="s">
        <v>313</v>
      </c>
      <c r="E13" s="23" t="s">
        <v>314</v>
      </c>
      <c r="F13" s="23" t="s">
        <v>315</v>
      </c>
      <c r="G13" s="23" t="s">
        <v>316</v>
      </c>
      <c r="H13" s="23" t="s">
        <v>29</v>
      </c>
      <c r="I13" s="23" t="s">
        <v>278</v>
      </c>
      <c r="J13" s="24">
        <v>44470</v>
      </c>
      <c r="K13" s="23"/>
      <c r="L13" s="24">
        <v>45931</v>
      </c>
      <c r="M13" s="24">
        <v>46295</v>
      </c>
      <c r="N13" s="58">
        <f t="shared" ca="1" si="0"/>
        <v>181</v>
      </c>
      <c r="O13" s="57">
        <v>16000</v>
      </c>
      <c r="P13" s="57"/>
      <c r="Q13" s="25"/>
      <c r="R13" s="23">
        <v>168</v>
      </c>
      <c r="S13" s="26">
        <v>16000</v>
      </c>
      <c r="T13" s="26">
        <v>1514.61</v>
      </c>
      <c r="U13" s="27">
        <v>166.4</v>
      </c>
      <c r="V13" s="27">
        <v>176.38</v>
      </c>
      <c r="W13" s="28">
        <v>168</v>
      </c>
      <c r="X13" s="29">
        <f>Tabela2[[#This Row],[Faturamento Renovação 2025]]*Tabela2[[#This Row],[HORAS TRABALHADAS2]]</f>
        <v>29631.84</v>
      </c>
      <c r="Y13" s="299"/>
    </row>
    <row r="14" spans="1:28">
      <c r="A14" s="23">
        <v>74</v>
      </c>
      <c r="B14" s="346" t="s">
        <v>317</v>
      </c>
      <c r="C14" s="273" t="s">
        <v>318</v>
      </c>
      <c r="D14" s="289" t="s">
        <v>319</v>
      </c>
      <c r="E14" s="23" t="s">
        <v>320</v>
      </c>
      <c r="F14" s="23" t="s">
        <v>320</v>
      </c>
      <c r="G14" s="23" t="s">
        <v>45</v>
      </c>
      <c r="H14" s="23" t="s">
        <v>29</v>
      </c>
      <c r="I14" s="23" t="s">
        <v>101</v>
      </c>
      <c r="J14" s="24">
        <v>45761</v>
      </c>
      <c r="K14" s="23"/>
      <c r="L14" s="24">
        <v>45748</v>
      </c>
      <c r="M14" s="295">
        <v>46112</v>
      </c>
      <c r="N14" s="58">
        <f t="shared" ca="1" si="0"/>
        <v>-2</v>
      </c>
      <c r="O14" s="25"/>
      <c r="P14" s="25">
        <v>3235.21</v>
      </c>
      <c r="Q14" s="25">
        <v>17199.02</v>
      </c>
      <c r="R14" s="23">
        <v>168</v>
      </c>
      <c r="S14" s="52">
        <f>P14+Q14+704</f>
        <v>21138.23</v>
      </c>
      <c r="T14" s="26"/>
      <c r="U14" s="27">
        <v>223.6</v>
      </c>
      <c r="V14" s="27">
        <v>237.02</v>
      </c>
      <c r="W14" s="28">
        <v>168</v>
      </c>
      <c r="X14" s="29">
        <f>Tabela2[[#This Row],[Faturamento Renovação 2025]]*Tabela2[[#This Row],[HORAS TRABALHADAS2]]</f>
        <v>39819.360000000001</v>
      </c>
      <c r="Y14" s="299"/>
    </row>
    <row r="15" spans="1:28">
      <c r="A15" s="23">
        <v>92</v>
      </c>
      <c r="B15" s="289" t="s">
        <v>321</v>
      </c>
      <c r="C15" s="292" t="s">
        <v>322</v>
      </c>
      <c r="D15" s="289" t="s">
        <v>323</v>
      </c>
      <c r="E15" s="23" t="s">
        <v>324</v>
      </c>
      <c r="F15" s="23" t="s">
        <v>325</v>
      </c>
      <c r="G15" s="23" t="s">
        <v>61</v>
      </c>
      <c r="H15" s="23" t="s">
        <v>29</v>
      </c>
      <c r="I15" s="23" t="s">
        <v>303</v>
      </c>
      <c r="J15" s="24">
        <v>45551</v>
      </c>
      <c r="K15" s="31"/>
      <c r="L15" s="24">
        <v>45901</v>
      </c>
      <c r="M15" s="24">
        <v>46265</v>
      </c>
      <c r="N15" s="58">
        <f t="shared" ca="1" si="0"/>
        <v>151</v>
      </c>
      <c r="O15" s="57">
        <v>166.4</v>
      </c>
      <c r="P15" s="57"/>
      <c r="Q15" s="25"/>
      <c r="R15" s="23">
        <v>168</v>
      </c>
      <c r="S15" s="26">
        <f>Tabela2[[#This Row],[VALOR HORA]]*Tabela2[[#This Row],[HORAS TRABALHADAS]]</f>
        <v>27955.200000000001</v>
      </c>
      <c r="T15" s="26"/>
      <c r="U15" s="27">
        <v>236.17</v>
      </c>
      <c r="V15" s="27">
        <v>250.34</v>
      </c>
      <c r="W15" s="28">
        <v>168</v>
      </c>
      <c r="X15" s="29">
        <f>Tabela2[[#This Row],[Faturamento Renovação 2025]]*Tabela2[[#This Row],[HORAS TRABALHADAS2]]</f>
        <v>42057.120000000003</v>
      </c>
      <c r="Y15" s="299"/>
    </row>
    <row r="16" spans="1:28">
      <c r="A16" s="23">
        <v>102</v>
      </c>
      <c r="B16" s="289" t="s">
        <v>326</v>
      </c>
      <c r="C16" s="292" t="s">
        <v>327</v>
      </c>
      <c r="D16" s="289" t="s">
        <v>328</v>
      </c>
      <c r="E16" s="23" t="s">
        <v>329</v>
      </c>
      <c r="F16" s="23" t="s">
        <v>330</v>
      </c>
      <c r="G16" s="23" t="s">
        <v>61</v>
      </c>
      <c r="H16" s="23" t="s">
        <v>29</v>
      </c>
      <c r="I16" s="23" t="s">
        <v>278</v>
      </c>
      <c r="J16" s="24">
        <v>45558</v>
      </c>
      <c r="K16" s="31"/>
      <c r="L16" s="24">
        <v>45923</v>
      </c>
      <c r="M16" s="24">
        <v>46287</v>
      </c>
      <c r="N16" s="58">
        <f t="shared" ca="1" si="0"/>
        <v>173</v>
      </c>
      <c r="O16" s="57">
        <v>145.6</v>
      </c>
      <c r="P16" s="57"/>
      <c r="Q16" s="25"/>
      <c r="R16" s="23">
        <v>168</v>
      </c>
      <c r="S16" s="26">
        <f>Tabela2[[#This Row],[VALOR HORA]]*Tabela2[[#This Row],[HORAS TRABALHADAS]]</f>
        <v>24460.799999999999</v>
      </c>
      <c r="T16" s="26"/>
      <c r="U16" s="27">
        <v>209</v>
      </c>
      <c r="V16" s="27">
        <v>221.54</v>
      </c>
      <c r="W16" s="28">
        <v>168</v>
      </c>
      <c r="X16" s="29">
        <f>Tabela2[[#This Row],[Faturamento Renovação 2025]]*Tabela2[[#This Row],[HORAS TRABALHADAS2]]</f>
        <v>37218.720000000001</v>
      </c>
      <c r="Y16" s="299"/>
      <c r="Z16" s="63"/>
      <c r="AA16" s="63">
        <f>Tabela2[[#This Row],[Faturamento Renovação 2025]]*168</f>
        <v>37218.720000000001</v>
      </c>
      <c r="AB16" s="63">
        <f>AA16*12</f>
        <v>446624.64</v>
      </c>
    </row>
    <row r="17" spans="1:25">
      <c r="A17" s="23">
        <v>189</v>
      </c>
      <c r="B17" s="289" t="s">
        <v>331</v>
      </c>
      <c r="C17" s="273" t="s">
        <v>332</v>
      </c>
      <c r="D17" s="289" t="s">
        <v>276</v>
      </c>
      <c r="E17" s="23" t="s">
        <v>277</v>
      </c>
      <c r="F17" s="23" t="s">
        <v>333</v>
      </c>
      <c r="G17" s="23" t="s">
        <v>28</v>
      </c>
      <c r="H17" s="23" t="s">
        <v>29</v>
      </c>
      <c r="I17" s="23" t="s">
        <v>278</v>
      </c>
      <c r="J17" s="24">
        <v>44851</v>
      </c>
      <c r="K17" s="23"/>
      <c r="L17" s="24">
        <v>46113</v>
      </c>
      <c r="M17" s="328">
        <v>46288</v>
      </c>
      <c r="N17" s="58">
        <f t="shared" ca="1" si="0"/>
        <v>174</v>
      </c>
      <c r="O17" s="57">
        <v>96.93</v>
      </c>
      <c r="P17" s="57"/>
      <c r="Q17" s="25"/>
      <c r="R17" s="23">
        <v>168</v>
      </c>
      <c r="S17" s="26">
        <f>Tabela2[[#This Row],[VALOR HORA]]*Tabela2[[#This Row],[HORAS TRABALHADAS]]</f>
        <v>16284.240000000002</v>
      </c>
      <c r="T17" s="26">
        <v>380</v>
      </c>
      <c r="U17" s="27">
        <v>159.38999999999999</v>
      </c>
      <c r="V17" s="27">
        <v>168.95</v>
      </c>
      <c r="W17" s="28">
        <v>168</v>
      </c>
      <c r="X17" s="29">
        <f>Tabela2[[#This Row],[Faturamento Renovação 2025]]*Tabela2[[#This Row],[HORAS TRABALHADAS2]]</f>
        <v>28383.599999999999</v>
      </c>
      <c r="Y17" s="299"/>
    </row>
    <row r="18" spans="1:25">
      <c r="A18" s="23">
        <v>97</v>
      </c>
      <c r="B18" s="289" t="s">
        <v>334</v>
      </c>
      <c r="C18" s="292"/>
      <c r="D18" s="289" t="s">
        <v>294</v>
      </c>
      <c r="E18" s="23" t="s">
        <v>277</v>
      </c>
      <c r="F18" s="37" t="s">
        <v>335</v>
      </c>
      <c r="G18" s="23" t="s">
        <v>299</v>
      </c>
      <c r="H18" s="23" t="s">
        <v>29</v>
      </c>
      <c r="I18" s="23" t="s">
        <v>101</v>
      </c>
      <c r="J18" s="24">
        <v>45887</v>
      </c>
      <c r="K18" s="23"/>
      <c r="L18" s="24">
        <v>45870</v>
      </c>
      <c r="M18" s="24">
        <v>46234</v>
      </c>
      <c r="N18" s="58">
        <f t="shared" ca="1" si="0"/>
        <v>120</v>
      </c>
      <c r="O18" s="25"/>
      <c r="P18" s="25">
        <v>2500</v>
      </c>
      <c r="Q18" s="25">
        <v>16643.91</v>
      </c>
      <c r="R18" s="23">
        <v>168</v>
      </c>
      <c r="S18" s="52">
        <f>P18+Q18+704</f>
        <v>19847.91</v>
      </c>
      <c r="T18" s="26"/>
      <c r="U18" s="27">
        <v>212.16</v>
      </c>
      <c r="V18" s="27">
        <v>224.89</v>
      </c>
      <c r="W18" s="28">
        <v>168</v>
      </c>
      <c r="X18" s="29">
        <f>Tabela2[[#This Row],[Faturamento Renovação 2025]]*Tabela2[[#This Row],[HORAS TRABALHADAS2]]</f>
        <v>37781.519999999997</v>
      </c>
      <c r="Y18" s="299"/>
    </row>
    <row r="19" spans="1:25">
      <c r="A19" s="23">
        <v>93</v>
      </c>
      <c r="B19" s="289" t="s">
        <v>336</v>
      </c>
      <c r="C19" s="273" t="s">
        <v>337</v>
      </c>
      <c r="D19" s="289" t="s">
        <v>276</v>
      </c>
      <c r="E19" s="23" t="s">
        <v>277</v>
      </c>
      <c r="F19" s="23" t="s">
        <v>286</v>
      </c>
      <c r="G19" s="23" t="s">
        <v>28</v>
      </c>
      <c r="H19" s="23" t="s">
        <v>29</v>
      </c>
      <c r="I19" s="23" t="s">
        <v>278</v>
      </c>
      <c r="J19" s="24">
        <v>45544</v>
      </c>
      <c r="K19" s="23"/>
      <c r="L19" s="24">
        <v>45901</v>
      </c>
      <c r="M19" s="24">
        <v>46265</v>
      </c>
      <c r="N19" s="58">
        <f t="shared" ca="1" si="0"/>
        <v>151</v>
      </c>
      <c r="O19" s="57">
        <v>101.2</v>
      </c>
      <c r="P19" s="57"/>
      <c r="Q19" s="25"/>
      <c r="R19" s="23">
        <v>168</v>
      </c>
      <c r="S19" s="26">
        <f>Tabela2[[#This Row],[VALOR HORA]]*Tabela2[[#This Row],[HORAS TRABALHADAS]]</f>
        <v>17001.600000000002</v>
      </c>
      <c r="T19" s="26"/>
      <c r="U19" s="27">
        <v>159.38999999999999</v>
      </c>
      <c r="V19" s="27">
        <v>168.95</v>
      </c>
      <c r="W19" s="28">
        <v>168</v>
      </c>
      <c r="X19" s="29">
        <f>Tabela2[[#This Row],[Faturamento Renovação 2025]]*Tabela2[[#This Row],[HORAS TRABALHADAS2]]</f>
        <v>28383.599999999999</v>
      </c>
      <c r="Y19" s="299"/>
    </row>
    <row r="20" spans="1:25">
      <c r="A20" s="23">
        <v>79</v>
      </c>
      <c r="B20" s="289" t="s">
        <v>338</v>
      </c>
      <c r="C20" s="291" t="s">
        <v>339</v>
      </c>
      <c r="D20" s="289" t="s">
        <v>276</v>
      </c>
      <c r="E20" s="23" t="s">
        <v>277</v>
      </c>
      <c r="F20" s="23" t="s">
        <v>340</v>
      </c>
      <c r="G20" s="23" t="s">
        <v>45</v>
      </c>
      <c r="H20" s="23" t="s">
        <v>29</v>
      </c>
      <c r="I20" s="23" t="s">
        <v>278</v>
      </c>
      <c r="J20" s="24">
        <v>45048</v>
      </c>
      <c r="K20" s="23"/>
      <c r="L20" s="24">
        <v>45809</v>
      </c>
      <c r="M20" s="24">
        <v>46173</v>
      </c>
      <c r="N20" s="58">
        <f t="shared" ca="1" si="0"/>
        <v>59</v>
      </c>
      <c r="O20" s="57">
        <v>92</v>
      </c>
      <c r="P20" s="57"/>
      <c r="Q20" s="25"/>
      <c r="R20" s="23">
        <v>168</v>
      </c>
      <c r="S20" s="26">
        <f>Tabela2[[#This Row],[VALOR HORA]]*Tabela2[[#This Row],[HORAS TRABALHADAS]]</f>
        <v>15456</v>
      </c>
      <c r="T20" s="26">
        <v>256.92</v>
      </c>
      <c r="U20" s="27">
        <v>135.59</v>
      </c>
      <c r="V20" s="27">
        <v>143.72999999999999</v>
      </c>
      <c r="W20" s="28">
        <v>168</v>
      </c>
      <c r="X20" s="29">
        <f>Tabela2[[#This Row],[Faturamento Renovação 2025]]*Tabela2[[#This Row],[HORAS TRABALHADAS2]]</f>
        <v>24146.639999999999</v>
      </c>
      <c r="Y20" s="299"/>
    </row>
    <row r="21" spans="1:25">
      <c r="A21" s="23">
        <v>80</v>
      </c>
      <c r="B21" s="289" t="s">
        <v>341</v>
      </c>
      <c r="C21" s="275" t="s">
        <v>342</v>
      </c>
      <c r="D21" s="289" t="s">
        <v>343</v>
      </c>
      <c r="E21" s="23" t="s">
        <v>344</v>
      </c>
      <c r="F21" s="23" t="s">
        <v>345</v>
      </c>
      <c r="G21" s="23" t="s">
        <v>291</v>
      </c>
      <c r="H21" s="23" t="s">
        <v>29</v>
      </c>
      <c r="I21" s="23" t="s">
        <v>278</v>
      </c>
      <c r="J21" s="24">
        <v>44658</v>
      </c>
      <c r="K21" s="23"/>
      <c r="L21" s="24">
        <v>45748</v>
      </c>
      <c r="M21" s="295">
        <v>46112</v>
      </c>
      <c r="N21" s="58">
        <f t="shared" ca="1" si="0"/>
        <v>-2</v>
      </c>
      <c r="O21" s="57">
        <v>19000</v>
      </c>
      <c r="P21" s="57"/>
      <c r="Q21" s="25"/>
      <c r="R21" s="23">
        <v>168</v>
      </c>
      <c r="S21" s="26">
        <f>Tabela2[[#This Row],[VALOR HORA]]*Tabela2[[#This Row],[HORAS TRABALHADAS]]</f>
        <v>3192000</v>
      </c>
      <c r="T21" s="26">
        <v>164.16</v>
      </c>
      <c r="U21" s="27">
        <v>176.8</v>
      </c>
      <c r="V21" s="27">
        <v>187.41</v>
      </c>
      <c r="W21" s="28">
        <v>168</v>
      </c>
      <c r="X21" s="29">
        <f>Tabela2[[#This Row],[Faturamento Renovação 2025]]*Tabela2[[#This Row],[HORAS TRABALHADAS2]]</f>
        <v>31484.880000000001</v>
      </c>
      <c r="Y21" s="299"/>
    </row>
    <row r="22" spans="1:25">
      <c r="A22" s="23"/>
      <c r="B22" s="289" t="s">
        <v>346</v>
      </c>
      <c r="C22" s="273" t="s">
        <v>347</v>
      </c>
      <c r="D22" s="289" t="s">
        <v>289</v>
      </c>
      <c r="E22" s="23" t="s">
        <v>348</v>
      </c>
      <c r="F22" s="23" t="s">
        <v>348</v>
      </c>
      <c r="G22" s="23" t="s">
        <v>61</v>
      </c>
      <c r="H22" s="23" t="s">
        <v>29</v>
      </c>
      <c r="I22" s="23" t="s">
        <v>278</v>
      </c>
      <c r="J22" s="24">
        <v>45992</v>
      </c>
      <c r="K22" s="23"/>
      <c r="L22" s="24">
        <v>45992</v>
      </c>
      <c r="M22" s="24"/>
      <c r="N22" s="58">
        <f t="shared" ca="1" si="0"/>
        <v>-46114</v>
      </c>
      <c r="O22" s="57">
        <v>22000</v>
      </c>
      <c r="P22" s="57"/>
      <c r="Q22" s="25"/>
      <c r="R22" s="23">
        <v>168</v>
      </c>
      <c r="S22" s="26">
        <v>22000</v>
      </c>
      <c r="T22" s="26"/>
      <c r="U22" s="27"/>
      <c r="V22" s="27"/>
      <c r="W22" s="28"/>
      <c r="X22" s="29">
        <f>Tabela2[[#This Row],[Faturamento Renovação 2025]]*Tabela2[[#This Row],[HORAS TRABALHADAS2]]</f>
        <v>0</v>
      </c>
      <c r="Y22" s="299"/>
    </row>
    <row r="23" spans="1:25" ht="14.25" customHeight="1">
      <c r="A23" s="23">
        <v>51</v>
      </c>
      <c r="B23" s="289" t="s">
        <v>349</v>
      </c>
      <c r="C23" s="291" t="s">
        <v>350</v>
      </c>
      <c r="D23" s="289" t="s">
        <v>294</v>
      </c>
      <c r="E23" s="23" t="s">
        <v>351</v>
      </c>
      <c r="F23" s="23" t="s">
        <v>351</v>
      </c>
      <c r="G23" s="23" t="s">
        <v>61</v>
      </c>
      <c r="H23" s="23" t="s">
        <v>29</v>
      </c>
      <c r="I23" s="23" t="s">
        <v>278</v>
      </c>
      <c r="J23" s="24">
        <v>45376</v>
      </c>
      <c r="K23" s="31"/>
      <c r="L23" s="24">
        <v>45741</v>
      </c>
      <c r="M23" s="295">
        <v>46105</v>
      </c>
      <c r="N23" s="58">
        <f t="shared" ca="1" si="0"/>
        <v>-9</v>
      </c>
      <c r="O23" s="57">
        <v>125</v>
      </c>
      <c r="P23" s="57"/>
      <c r="Q23" s="25"/>
      <c r="R23" s="23">
        <v>168</v>
      </c>
      <c r="S23" s="26">
        <f>Tabela2[[#This Row],[VALOR HORA]]*Tabela2[[#This Row],[HORAS TRABALHADAS]]</f>
        <v>21000</v>
      </c>
      <c r="T23" s="26"/>
      <c r="U23" s="27">
        <v>187</v>
      </c>
      <c r="V23" s="27">
        <v>198.22</v>
      </c>
      <c r="W23" s="28">
        <v>168</v>
      </c>
      <c r="X23" s="29">
        <f>Tabela2[[#This Row],[Faturamento Renovação 2025]]*Tabela2[[#This Row],[HORAS TRABALHADAS2]]</f>
        <v>33300.959999999999</v>
      </c>
      <c r="Y23" s="299"/>
    </row>
    <row r="24" spans="1:25" ht="14.25" customHeight="1">
      <c r="A24" s="23">
        <v>144</v>
      </c>
      <c r="B24" s="293" t="s">
        <v>352</v>
      </c>
      <c r="C24" s="275" t="s">
        <v>353</v>
      </c>
      <c r="D24" s="289" t="s">
        <v>294</v>
      </c>
      <c r="E24" s="23" t="s">
        <v>354</v>
      </c>
      <c r="F24" s="37" t="s">
        <v>355</v>
      </c>
      <c r="G24" s="23" t="s">
        <v>45</v>
      </c>
      <c r="H24" s="23" t="s">
        <v>29</v>
      </c>
      <c r="I24" s="23" t="s">
        <v>101</v>
      </c>
      <c r="J24" s="24">
        <v>45663</v>
      </c>
      <c r="K24" s="33"/>
      <c r="L24" s="24">
        <v>45997</v>
      </c>
      <c r="M24" s="24">
        <v>46361</v>
      </c>
      <c r="N24" s="58">
        <f t="shared" ca="1" si="0"/>
        <v>247</v>
      </c>
      <c r="O24" s="57">
        <v>139.88</v>
      </c>
      <c r="P24" s="25">
        <v>2500</v>
      </c>
      <c r="Q24" s="25">
        <v>19979</v>
      </c>
      <c r="R24" s="23">
        <v>168</v>
      </c>
      <c r="S24" s="52">
        <f>P24+Q24+704</f>
        <v>23183</v>
      </c>
      <c r="T24" s="26"/>
      <c r="U24" s="27">
        <v>275.60000000000002</v>
      </c>
      <c r="V24" s="27">
        <v>237.02</v>
      </c>
      <c r="W24" s="28">
        <v>168</v>
      </c>
      <c r="X24" s="29">
        <f>Tabela2[[#This Row],[Faturamento Renovação 2025]]*Tabela2[[#This Row],[HORAS TRABALHADAS2]]</f>
        <v>39819.360000000001</v>
      </c>
      <c r="Y24" s="299"/>
    </row>
    <row r="26" spans="1:25" ht="17.25">
      <c r="B26" s="67">
        <v>22</v>
      </c>
      <c r="C26" s="67"/>
      <c r="D26" s="67"/>
      <c r="U26" s="63"/>
    </row>
    <row r="27" spans="1:25">
      <c r="T27" s="63"/>
    </row>
  </sheetData>
  <conditionalFormatting sqref="N5:N24">
    <cfRule type="iconSet" priority="66">
      <iconSet iconSet="3Symbols">
        <cfvo type="percent" val="0"/>
        <cfvo type="num" val="30"/>
        <cfvo type="num" val="60"/>
      </iconSet>
    </cfRule>
  </conditionalFormatting>
  <hyperlinks>
    <hyperlink ref="C8" r:id="rId1" xr:uid="{DD6DA095-04AE-4F7E-8B69-AF0738C0F383}"/>
    <hyperlink ref="C7" r:id="rId2" xr:uid="{611C5007-2D32-40AC-BABA-16CAB797680C}"/>
    <hyperlink ref="C5" r:id="rId3" xr:uid="{8324A6AE-9764-4824-B2D4-C063797EBAF5}"/>
    <hyperlink ref="C16" r:id="rId4" xr:uid="{1DA372E1-A180-4414-9147-0C7D8A80F5BC}"/>
    <hyperlink ref="C9" r:id="rId5" xr:uid="{05782A8E-984F-458D-8BAD-812EBF0FE09B}"/>
    <hyperlink ref="C10" r:id="rId6" xr:uid="{21A97711-7E4C-45D3-987A-7A070DB9F2B3}"/>
    <hyperlink ref="C11" r:id="rId7" xr:uid="{BAC04252-ACAA-44E8-8D56-45027A14B5A9}"/>
    <hyperlink ref="C12" r:id="rId8" xr:uid="{C9C0E904-41B2-4BB4-A40F-648D50F3E4CE}"/>
    <hyperlink ref="C13" r:id="rId9" xr:uid="{21A33893-5FFF-4360-8D38-4FA971799BF3}"/>
    <hyperlink ref="C14" r:id="rId10" xr:uid="{9EC6D44B-7CA7-4648-B719-4FD0D8EA960F}"/>
    <hyperlink ref="C15" r:id="rId11" xr:uid="{28DBB38C-FD97-460A-8A69-0E8C4B63CCE7}"/>
    <hyperlink ref="C17" r:id="rId12" xr:uid="{EB4AB5E5-2BDB-4B2D-B007-D15F4B95897C}"/>
    <hyperlink ref="C19" r:id="rId13" xr:uid="{30FE7F8D-D0AA-4174-8187-F775C52E6542}"/>
    <hyperlink ref="C20" r:id="rId14" xr:uid="{6E97CA78-4CC8-4D67-9A9C-47E250E09593}"/>
    <hyperlink ref="C21" r:id="rId15" xr:uid="{6644C3A5-B18B-46DB-AED4-8449B2A7FC19}"/>
    <hyperlink ref="C23" r:id="rId16" xr:uid="{F0295085-1AB8-4BDC-A16E-6E36EEFB5EEB}"/>
    <hyperlink ref="C24" r:id="rId17" xr:uid="{39FA4EC9-EEB4-4D16-9802-FB1E263F575D}"/>
  </hyperlinks>
  <pageMargins left="0.511811024" right="0.511811024" top="0.78740157499999996" bottom="0.78740157499999996" header="0.31496062000000002" footer="0.31496062000000002"/>
  <drawing r:id="rId18"/>
  <legacyDrawing r:id="rId19"/>
  <tableParts count="1">
    <tablePart r:id="rId2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45C9-6D70-4B95-A7E7-F02A44020928}">
  <sheetPr>
    <tabColor theme="8" tint="0.59999389629810485"/>
  </sheetPr>
  <dimension ref="A1:X22"/>
  <sheetViews>
    <sheetView workbookViewId="0">
      <selection activeCell="D17" sqref="D17"/>
    </sheetView>
  </sheetViews>
  <sheetFormatPr defaultColWidth="9.140625" defaultRowHeight="15"/>
  <cols>
    <col min="1" max="1" width="7.85546875" bestFit="1" customWidth="1"/>
    <col min="2" max="2" width="25.7109375" bestFit="1" customWidth="1"/>
    <col min="3" max="3" width="34.85546875" customWidth="1"/>
    <col min="4" max="4" width="32.85546875" customWidth="1"/>
    <col min="5" max="5" width="34.5703125" bestFit="1" customWidth="1"/>
    <col min="6" max="6" width="16.42578125" bestFit="1" customWidth="1"/>
    <col min="7" max="7" width="11.42578125" bestFit="1" customWidth="1"/>
    <col min="8" max="8" width="24" bestFit="1" customWidth="1"/>
    <col min="9" max="9" width="15.140625" bestFit="1" customWidth="1"/>
    <col min="10" max="10" width="16" customWidth="1"/>
    <col min="11" max="11" width="22" bestFit="1" customWidth="1"/>
    <col min="12" max="12" width="23.85546875" bestFit="1" customWidth="1"/>
    <col min="13" max="13" width="23.7109375" bestFit="1" customWidth="1"/>
    <col min="14" max="14" width="15.42578125" bestFit="1" customWidth="1"/>
    <col min="15" max="15" width="15.42578125" customWidth="1"/>
    <col min="16" max="16" width="22.140625" bestFit="1" customWidth="1"/>
    <col min="17" max="17" width="22.5703125" bestFit="1" customWidth="1"/>
    <col min="18" max="18" width="26" bestFit="1" customWidth="1"/>
    <col min="19" max="19" width="12.140625" bestFit="1" customWidth="1"/>
    <col min="20" max="20" width="25" bestFit="1" customWidth="1"/>
    <col min="21" max="21" width="25" customWidth="1"/>
    <col min="22" max="22" width="22.5703125" bestFit="1" customWidth="1"/>
    <col min="23" max="23" width="30.7109375" bestFit="1" customWidth="1"/>
    <col min="24" max="24" width="12" bestFit="1" customWidth="1"/>
  </cols>
  <sheetData>
    <row r="1" spans="1:24" s="1" customFormat="1"/>
    <row r="2" spans="1:24" s="1" customFormat="1"/>
    <row r="3" spans="1:24" s="3" customFormat="1"/>
    <row r="4" spans="1:24" s="2" customFormat="1">
      <c r="A4" s="5" t="s">
        <v>0</v>
      </c>
      <c r="B4" s="6" t="s">
        <v>1</v>
      </c>
      <c r="C4" s="6" t="s">
        <v>2</v>
      </c>
      <c r="D4" s="6" t="s">
        <v>3</v>
      </c>
      <c r="E4" s="7" t="s">
        <v>4</v>
      </c>
      <c r="F4" s="7" t="s">
        <v>6</v>
      </c>
      <c r="G4" s="7" t="s">
        <v>7</v>
      </c>
      <c r="H4" s="7" t="s">
        <v>8</v>
      </c>
      <c r="I4" s="8" t="s">
        <v>9</v>
      </c>
      <c r="J4" s="8" t="s">
        <v>10</v>
      </c>
      <c r="K4" s="7" t="s">
        <v>11</v>
      </c>
      <c r="L4" s="7" t="s">
        <v>12</v>
      </c>
      <c r="M4" s="6" t="s">
        <v>13</v>
      </c>
      <c r="N4" s="6" t="s">
        <v>271</v>
      </c>
      <c r="O4" s="6" t="s">
        <v>14</v>
      </c>
      <c r="P4" s="6" t="s">
        <v>15</v>
      </c>
      <c r="Q4" s="7" t="s">
        <v>16</v>
      </c>
      <c r="R4" s="7" t="s">
        <v>272</v>
      </c>
      <c r="S4" s="7" t="s">
        <v>18</v>
      </c>
      <c r="T4" s="9" t="s">
        <v>19</v>
      </c>
      <c r="U4" s="9" t="s">
        <v>356</v>
      </c>
      <c r="V4" s="7" t="s">
        <v>21</v>
      </c>
      <c r="W4" s="10" t="s">
        <v>22</v>
      </c>
    </row>
    <row r="5" spans="1:24">
      <c r="A5" s="21">
        <v>172</v>
      </c>
      <c r="B5" s="66" t="s">
        <v>357</v>
      </c>
      <c r="C5" s="103" t="s">
        <v>358</v>
      </c>
      <c r="D5" s="73" t="s">
        <v>104</v>
      </c>
      <c r="E5" s="69" t="s">
        <v>359</v>
      </c>
      <c r="F5" s="37" t="s">
        <v>28</v>
      </c>
      <c r="G5" s="37" t="s">
        <v>29</v>
      </c>
      <c r="H5" s="37" t="s">
        <v>278</v>
      </c>
      <c r="I5" s="38">
        <v>44708</v>
      </c>
      <c r="J5" s="39"/>
      <c r="K5" s="38">
        <v>46113</v>
      </c>
      <c r="L5" s="38">
        <v>46295</v>
      </c>
      <c r="M5" s="58">
        <f t="shared" ref="M5:M10" ca="1" si="0">L5-TODAY()</f>
        <v>181</v>
      </c>
      <c r="N5" s="40">
        <v>95</v>
      </c>
      <c r="O5" s="40"/>
      <c r="P5" s="37"/>
      <c r="Q5" s="37">
        <v>168</v>
      </c>
      <c r="R5" s="41">
        <f>Tabela4[[#This Row],[VALOR HORA]]*Tabela4[[#This Row],[HORAS TRABALHADAS]]</f>
        <v>15960</v>
      </c>
      <c r="S5" s="41">
        <v>443.24</v>
      </c>
      <c r="T5" s="42">
        <v>152.57</v>
      </c>
      <c r="U5" s="42">
        <v>161.72</v>
      </c>
      <c r="V5" s="43">
        <v>168</v>
      </c>
      <c r="W5" s="44">
        <f>Tabela4[[#This Row],[Faturamento 2026]]*168</f>
        <v>27168.959999999999</v>
      </c>
    </row>
    <row r="6" spans="1:24">
      <c r="A6" s="21">
        <v>69</v>
      </c>
      <c r="B6" s="66" t="s">
        <v>360</v>
      </c>
      <c r="C6" s="103" t="s">
        <v>361</v>
      </c>
      <c r="D6" s="73" t="s">
        <v>104</v>
      </c>
      <c r="E6" s="70" t="s">
        <v>362</v>
      </c>
      <c r="F6" s="37" t="s">
        <v>28</v>
      </c>
      <c r="G6" s="37" t="s">
        <v>29</v>
      </c>
      <c r="H6" s="37" t="s">
        <v>278</v>
      </c>
      <c r="I6" s="38">
        <v>44852</v>
      </c>
      <c r="J6" s="37"/>
      <c r="K6" s="38">
        <v>45748</v>
      </c>
      <c r="L6" s="38">
        <v>46112</v>
      </c>
      <c r="M6" s="58">
        <f t="shared" ca="1" si="0"/>
        <v>-2</v>
      </c>
      <c r="N6" s="40">
        <v>15000.72</v>
      </c>
      <c r="O6" s="46"/>
      <c r="P6" s="37"/>
      <c r="Q6" s="37">
        <v>168</v>
      </c>
      <c r="R6" s="41">
        <f>Tabela4[[#This Row],[VALOR HORA]]*Tabela4[[#This Row],[HORAS TRABALHADAS]]</f>
        <v>2520120.96</v>
      </c>
      <c r="S6" s="41">
        <v>393.24</v>
      </c>
      <c r="T6" s="42">
        <v>152.57</v>
      </c>
      <c r="U6" s="42">
        <v>161.72</v>
      </c>
      <c r="V6" s="43">
        <v>168</v>
      </c>
      <c r="W6" s="44">
        <v>27168.959999999999</v>
      </c>
      <c r="X6" t="s">
        <v>363</v>
      </c>
    </row>
    <row r="7" spans="1:24">
      <c r="A7" s="21">
        <v>69</v>
      </c>
      <c r="B7" s="66" t="s">
        <v>364</v>
      </c>
      <c r="C7" s="103" t="s">
        <v>365</v>
      </c>
      <c r="D7" s="73" t="s">
        <v>104</v>
      </c>
      <c r="E7" s="70" t="s">
        <v>366</v>
      </c>
      <c r="F7" s="37" t="s">
        <v>45</v>
      </c>
      <c r="G7" s="37" t="s">
        <v>29</v>
      </c>
      <c r="H7" s="37" t="s">
        <v>278</v>
      </c>
      <c r="I7" s="38">
        <v>44426</v>
      </c>
      <c r="J7" s="37"/>
      <c r="K7" s="38">
        <v>45748</v>
      </c>
      <c r="L7" s="38">
        <v>46112</v>
      </c>
      <c r="M7" s="58">
        <f t="shared" ca="1" si="0"/>
        <v>-2</v>
      </c>
      <c r="N7" s="40">
        <v>68</v>
      </c>
      <c r="O7" s="46"/>
      <c r="P7" s="37"/>
      <c r="Q7" s="37">
        <v>168</v>
      </c>
      <c r="R7" s="41">
        <f>Tabela4[[#This Row],[VALOR HORA]]*Tabela4[[#This Row],[HORAS TRABALHADAS]]</f>
        <v>11424</v>
      </c>
      <c r="S7" s="41">
        <v>318.24</v>
      </c>
      <c r="T7" s="42">
        <v>131.16</v>
      </c>
      <c r="U7" s="42">
        <v>139.03</v>
      </c>
      <c r="V7" s="43">
        <v>168</v>
      </c>
      <c r="W7" s="44">
        <f>Tabela4[[#This Row],[HORAS TRABALHADAS2]]*Tabela4[[#This Row],[Faturamento 2026]]</f>
        <v>23357.040000000001</v>
      </c>
      <c r="X7" t="s">
        <v>363</v>
      </c>
    </row>
    <row r="8" spans="1:24">
      <c r="A8" s="21">
        <v>164</v>
      </c>
      <c r="B8" s="66" t="s">
        <v>367</v>
      </c>
      <c r="C8" s="72" t="s">
        <v>368</v>
      </c>
      <c r="D8" s="73" t="s">
        <v>369</v>
      </c>
      <c r="E8" s="45" t="s">
        <v>370</v>
      </c>
      <c r="F8" s="37" t="s">
        <v>61</v>
      </c>
      <c r="G8" s="37" t="s">
        <v>100</v>
      </c>
      <c r="H8" s="37" t="s">
        <v>278</v>
      </c>
      <c r="I8" s="38">
        <v>44952</v>
      </c>
      <c r="J8" s="39"/>
      <c r="K8" s="38">
        <v>46023</v>
      </c>
      <c r="L8" s="38">
        <v>46295</v>
      </c>
      <c r="M8" s="58">
        <f t="shared" ca="1" si="0"/>
        <v>181</v>
      </c>
      <c r="N8" s="40">
        <v>21000</v>
      </c>
      <c r="O8" s="46"/>
      <c r="P8" s="37"/>
      <c r="Q8" s="37">
        <v>168</v>
      </c>
      <c r="R8" s="41">
        <f>Tabela4[[#This Row],[VALOR HORA]]*Tabela4[[#This Row],[HORAS TRABALHADAS]]</f>
        <v>3528000</v>
      </c>
      <c r="S8" s="41">
        <v>175.76</v>
      </c>
      <c r="T8" s="42">
        <v>186.31</v>
      </c>
      <c r="U8" s="42">
        <v>186.31</v>
      </c>
      <c r="V8" s="43">
        <v>168</v>
      </c>
      <c r="W8" s="44">
        <f>Tabela4[[#This Row],[Faturamento 2026]]*168</f>
        <v>31300.080000000002</v>
      </c>
    </row>
    <row r="9" spans="1:24">
      <c r="A9" s="21">
        <v>173</v>
      </c>
      <c r="B9" s="66" t="s">
        <v>371</v>
      </c>
      <c r="C9" s="103" t="s">
        <v>372</v>
      </c>
      <c r="D9" s="73" t="s">
        <v>104</v>
      </c>
      <c r="E9" s="45" t="s">
        <v>373</v>
      </c>
      <c r="F9" s="37" t="s">
        <v>28</v>
      </c>
      <c r="G9" s="37" t="s">
        <v>29</v>
      </c>
      <c r="H9" s="37" t="s">
        <v>278</v>
      </c>
      <c r="I9" s="38">
        <v>44431</v>
      </c>
      <c r="J9" s="37"/>
      <c r="K9" s="38">
        <v>46113</v>
      </c>
      <c r="L9" s="38">
        <v>46295</v>
      </c>
      <c r="M9" s="58">
        <f t="shared" ca="1" si="0"/>
        <v>181</v>
      </c>
      <c r="N9" s="40">
        <v>16296</v>
      </c>
      <c r="O9" s="46"/>
      <c r="P9" s="37"/>
      <c r="Q9" s="37">
        <v>168</v>
      </c>
      <c r="R9" s="41">
        <f>Tabela4[[#This Row],[VALOR HORA]]*Tabela4[[#This Row],[HORAS TRABALHADAS]]</f>
        <v>2737728</v>
      </c>
      <c r="S9" s="41">
        <v>380</v>
      </c>
      <c r="T9" s="42">
        <v>145.79</v>
      </c>
      <c r="U9" s="42">
        <v>154.53</v>
      </c>
      <c r="V9" s="43">
        <v>168</v>
      </c>
      <c r="W9" s="44">
        <f>Tabela4[[#This Row],[Faturamento 2026]]*168</f>
        <v>25961.040000000001</v>
      </c>
    </row>
    <row r="10" spans="1:24">
      <c r="A10" s="30">
        <v>66</v>
      </c>
      <c r="B10" s="68" t="s">
        <v>374</v>
      </c>
      <c r="C10" s="72" t="s">
        <v>375</v>
      </c>
      <c r="D10" s="73" t="s">
        <v>376</v>
      </c>
      <c r="E10" s="45" t="s">
        <v>377</v>
      </c>
      <c r="F10" s="37" t="s">
        <v>28</v>
      </c>
      <c r="G10" s="37" t="s">
        <v>29</v>
      </c>
      <c r="H10" s="37" t="s">
        <v>278</v>
      </c>
      <c r="I10" s="38">
        <v>45595</v>
      </c>
      <c r="J10" s="39"/>
      <c r="K10" s="38">
        <v>45717</v>
      </c>
      <c r="L10" s="38">
        <v>46081</v>
      </c>
      <c r="M10" s="58">
        <f t="shared" ca="1" si="0"/>
        <v>-33</v>
      </c>
      <c r="N10" s="40">
        <v>18000</v>
      </c>
      <c r="O10" s="46"/>
      <c r="P10" s="37"/>
      <c r="Q10" s="37">
        <v>168</v>
      </c>
      <c r="R10" s="41">
        <f>Tabela4[[#This Row],[VALOR HORA]]*Tabela4[[#This Row],[HORAS TRABALHADAS]]</f>
        <v>3024000</v>
      </c>
      <c r="S10" s="47"/>
      <c r="T10" s="42">
        <v>169.29</v>
      </c>
      <c r="U10" s="42"/>
      <c r="V10" s="43">
        <v>168</v>
      </c>
      <c r="W10" s="44">
        <f t="shared" ref="W10" si="1">S10*V10</f>
        <v>0</v>
      </c>
      <c r="X10" t="s">
        <v>363</v>
      </c>
    </row>
    <row r="11" spans="1:24">
      <c r="A11" s="30"/>
      <c r="B11" s="68"/>
      <c r="C11" s="72"/>
      <c r="D11" s="73"/>
      <c r="E11" s="45"/>
      <c r="F11" s="37"/>
      <c r="G11" s="37"/>
      <c r="H11" s="37"/>
      <c r="I11" s="38"/>
      <c r="J11" s="39"/>
      <c r="K11" s="38"/>
      <c r="L11" s="38"/>
      <c r="M11" s="58"/>
      <c r="N11" s="46"/>
      <c r="O11" s="46"/>
      <c r="P11" s="37"/>
      <c r="Q11" s="37"/>
      <c r="R11" s="41"/>
      <c r="S11" s="47"/>
      <c r="T11" s="42"/>
      <c r="U11" s="42"/>
      <c r="V11" s="43"/>
      <c r="W11" s="44"/>
    </row>
    <row r="12" spans="1:24">
      <c r="A12" s="21"/>
      <c r="B12" s="327">
        <v>7</v>
      </c>
      <c r="C12" s="316"/>
      <c r="D12" s="316"/>
      <c r="E12" s="317"/>
      <c r="F12" s="318"/>
      <c r="G12" s="318"/>
      <c r="H12" s="318"/>
      <c r="I12" s="319"/>
      <c r="J12" s="318"/>
      <c r="K12" s="319"/>
      <c r="L12" s="319"/>
      <c r="M12" s="320">
        <f ca="1">L12-TODAY()</f>
        <v>-46114</v>
      </c>
      <c r="N12" s="321"/>
      <c r="O12" s="322"/>
      <c r="P12" s="318"/>
      <c r="Q12" s="318"/>
      <c r="R12" s="323">
        <f>SUM(Tabela4[[#This Row],[VALOR CLT]:[VALOR ESTRATÉGICO]])</f>
        <v>0</v>
      </c>
      <c r="S12" s="323"/>
      <c r="T12" s="324"/>
      <c r="U12" s="324"/>
      <c r="V12" s="325"/>
      <c r="W12" s="326">
        <f>S12*V12</f>
        <v>0</v>
      </c>
    </row>
    <row r="13" spans="1:24" ht="17.25">
      <c r="B13" s="67"/>
      <c r="C13" s="67"/>
      <c r="D13" s="67"/>
    </row>
    <row r="22" ht="14.25" customHeight="1"/>
  </sheetData>
  <conditionalFormatting sqref="M5:M12">
    <cfRule type="iconSet" priority="38">
      <iconSet iconSet="3Symbols">
        <cfvo type="percent" val="0"/>
        <cfvo type="num" val="30"/>
        <cfvo type="num" val="60"/>
      </iconSet>
    </cfRule>
  </conditionalFormatting>
  <hyperlinks>
    <hyperlink ref="C8" r:id="rId1" xr:uid="{D02662D6-BEC8-4534-89ED-7190E7169AD6}"/>
    <hyperlink ref="C6" r:id="rId2" xr:uid="{AA05EC2E-F654-4CF3-8BD6-A53202F58EC4}"/>
    <hyperlink ref="C7" r:id="rId3" xr:uid="{418D85D5-BD05-4477-826F-C0A270688ECC}"/>
    <hyperlink ref="C10" r:id="rId4" xr:uid="{89585E89-B173-4B70-8104-8782B64C6531}"/>
    <hyperlink ref="C9" r:id="rId5" xr:uid="{B5483D62-0915-422D-8FF2-8414DA371F05}"/>
    <hyperlink ref="C5" r:id="rId6" xr:uid="{EFD7DCFC-6F32-4E09-BBB6-A6D58C7DCA53}"/>
  </hyperlinks>
  <pageMargins left="0.511811024" right="0.511811024" top="0.78740157499999996" bottom="0.78740157499999996" header="0.31496062000000002" footer="0.31496062000000002"/>
  <drawing r:id="rId7"/>
  <tableParts count="1">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9B03C-CDFE-4F57-AF2F-7CC95DC267C8}">
  <dimension ref="A1:V9"/>
  <sheetViews>
    <sheetView workbookViewId="0">
      <selection activeCell="E15" sqref="E15"/>
    </sheetView>
  </sheetViews>
  <sheetFormatPr defaultRowHeight="15"/>
  <cols>
    <col min="2" max="2" width="26.28515625" bestFit="1" customWidth="1"/>
    <col min="3" max="3" width="33" bestFit="1" customWidth="1"/>
    <col min="4" max="4" width="19.42578125" bestFit="1" customWidth="1"/>
    <col min="5" max="5" width="22.7109375" bestFit="1" customWidth="1"/>
    <col min="9" max="9" width="10.5703125" bestFit="1" customWidth="1"/>
    <col min="10" max="10" width="12.42578125" bestFit="1" customWidth="1"/>
    <col min="11" max="11" width="17.42578125" bestFit="1" customWidth="1"/>
    <col min="12" max="12" width="19.28515625" bestFit="1" customWidth="1"/>
    <col min="13" max="13" width="19.140625" bestFit="1" customWidth="1"/>
    <col min="15" max="15" width="9.28515625" bestFit="1" customWidth="1"/>
    <col min="18" max="18" width="21.42578125" bestFit="1" customWidth="1"/>
    <col min="22" max="22" width="26.140625" bestFit="1" customWidth="1"/>
  </cols>
  <sheetData>
    <row r="1" spans="1:22">
      <c r="A1" s="260"/>
      <c r="B1" s="260"/>
      <c r="C1" s="260"/>
      <c r="D1" s="260"/>
      <c r="E1" s="260"/>
      <c r="F1" s="260"/>
      <c r="G1" s="260"/>
      <c r="H1" s="260"/>
      <c r="I1" s="260"/>
      <c r="J1" s="260"/>
      <c r="K1" s="260"/>
      <c r="L1" s="260"/>
      <c r="M1" s="260"/>
      <c r="N1" s="260"/>
      <c r="O1" s="260"/>
      <c r="P1" s="260"/>
      <c r="Q1" s="260"/>
      <c r="R1" s="260"/>
      <c r="S1" s="260"/>
      <c r="T1" s="260"/>
      <c r="U1" s="260"/>
    </row>
    <row r="2" spans="1:22">
      <c r="A2" s="260"/>
      <c r="B2" s="260"/>
      <c r="C2" s="260"/>
      <c r="D2" s="260"/>
      <c r="E2" s="260"/>
      <c r="F2" s="260"/>
      <c r="G2" s="260"/>
      <c r="H2" s="260"/>
      <c r="I2" s="260"/>
      <c r="J2" s="260"/>
      <c r="K2" s="260"/>
      <c r="L2" s="260"/>
      <c r="M2" s="260"/>
      <c r="N2" s="260"/>
      <c r="O2" s="260"/>
      <c r="P2" s="260"/>
      <c r="Q2" s="260"/>
      <c r="R2" s="260"/>
      <c r="S2" s="260"/>
      <c r="T2" s="260"/>
      <c r="U2" s="260"/>
    </row>
    <row r="4" spans="1:22">
      <c r="A4" s="5" t="s">
        <v>0</v>
      </c>
      <c r="B4" s="6" t="s">
        <v>1</v>
      </c>
      <c r="C4" s="6" t="s">
        <v>2</v>
      </c>
      <c r="D4" s="6" t="s">
        <v>3</v>
      </c>
      <c r="E4" s="7" t="s">
        <v>4</v>
      </c>
      <c r="F4" s="7" t="s">
        <v>6</v>
      </c>
      <c r="G4" s="7" t="s">
        <v>7</v>
      </c>
      <c r="H4" s="7" t="s">
        <v>8</v>
      </c>
      <c r="I4" s="8" t="s">
        <v>9</v>
      </c>
      <c r="J4" s="8" t="s">
        <v>10</v>
      </c>
      <c r="K4" s="7" t="s">
        <v>11</v>
      </c>
      <c r="L4" s="7" t="s">
        <v>12</v>
      </c>
      <c r="M4" s="6" t="s">
        <v>13</v>
      </c>
      <c r="N4" s="6" t="s">
        <v>271</v>
      </c>
      <c r="O4" s="6" t="s">
        <v>14</v>
      </c>
      <c r="P4" s="6" t="s">
        <v>15</v>
      </c>
      <c r="Q4" s="7" t="s">
        <v>16</v>
      </c>
      <c r="R4" s="7" t="s">
        <v>272</v>
      </c>
      <c r="S4" s="7" t="s">
        <v>18</v>
      </c>
      <c r="T4" s="9" t="s">
        <v>19</v>
      </c>
      <c r="U4" s="7" t="s">
        <v>16</v>
      </c>
      <c r="V4" s="10" t="s">
        <v>22</v>
      </c>
    </row>
    <row r="5" spans="1:22">
      <c r="A5" s="37"/>
      <c r="B5" s="261" t="s">
        <v>378</v>
      </c>
      <c r="C5" s="261" t="s">
        <v>379</v>
      </c>
      <c r="D5" s="261" t="s">
        <v>380</v>
      </c>
      <c r="E5" s="261" t="s">
        <v>381</v>
      </c>
      <c r="F5" s="264" t="s">
        <v>45</v>
      </c>
      <c r="G5" s="265" t="s">
        <v>29</v>
      </c>
      <c r="H5" s="265" t="s">
        <v>278</v>
      </c>
      <c r="I5" s="262">
        <v>45950</v>
      </c>
      <c r="J5" s="39"/>
      <c r="K5" s="38"/>
      <c r="L5" s="38"/>
      <c r="M5" s="58"/>
      <c r="N5" s="263">
        <v>85</v>
      </c>
      <c r="O5" s="40"/>
      <c r="P5" s="37"/>
      <c r="Q5" s="37">
        <v>168</v>
      </c>
      <c r="R5" s="41">
        <f t="shared" ref="R5:R6" si="0">N5*Q5</f>
        <v>14280</v>
      </c>
      <c r="S5" s="41"/>
      <c r="T5" s="42">
        <v>142.86000000000001</v>
      </c>
      <c r="U5" s="43">
        <v>168</v>
      </c>
      <c r="V5" s="44">
        <f>T5*U5</f>
        <v>24000.480000000003</v>
      </c>
    </row>
    <row r="6" spans="1:22">
      <c r="A6" s="37"/>
      <c r="B6" s="261" t="s">
        <v>382</v>
      </c>
      <c r="C6" s="261" t="s">
        <v>383</v>
      </c>
      <c r="D6" s="261" t="s">
        <v>380</v>
      </c>
      <c r="E6" s="261" t="s">
        <v>381</v>
      </c>
      <c r="F6" s="264" t="s">
        <v>45</v>
      </c>
      <c r="G6" s="265" t="s">
        <v>29</v>
      </c>
      <c r="H6" s="265" t="s">
        <v>278</v>
      </c>
      <c r="I6" s="262">
        <v>45958</v>
      </c>
      <c r="J6" s="39"/>
      <c r="K6" s="38"/>
      <c r="L6" s="38"/>
      <c r="M6" s="58"/>
      <c r="N6" s="263">
        <v>85</v>
      </c>
      <c r="O6" s="40"/>
      <c r="P6" s="37"/>
      <c r="Q6" s="37">
        <v>168</v>
      </c>
      <c r="R6" s="41">
        <f t="shared" si="0"/>
        <v>14280</v>
      </c>
      <c r="S6" s="41"/>
      <c r="T6" s="42">
        <v>142.86000000000001</v>
      </c>
      <c r="U6" s="43">
        <v>168</v>
      </c>
      <c r="V6" s="44">
        <f>T6*U6</f>
        <v>24000.480000000003</v>
      </c>
    </row>
    <row r="9" spans="1:22">
      <c r="B9" s="266"/>
    </row>
  </sheetData>
  <conditionalFormatting sqref="M5:M6">
    <cfRule type="iconSet" priority="49">
      <iconSet iconSet="3Symbols">
        <cfvo type="percent" val="0"/>
        <cfvo type="num" val="30"/>
        <cfvo type="num" val="60"/>
      </iconSet>
    </cfRule>
  </conditionalFormatting>
  <hyperlinks>
    <hyperlink ref="C6" r:id="rId1" xr:uid="{51A78F29-B025-4199-BFDA-AE272B57FC6B}"/>
  </hyperlinks>
  <pageMargins left="0.511811024" right="0.511811024" top="0.78740157499999996" bottom="0.78740157499999996" header="0.31496062000000002" footer="0.31496062000000002"/>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59B0A-C2C8-48E9-8F91-5540CBBC3B0B}">
  <dimension ref="A1:V9"/>
  <sheetViews>
    <sheetView workbookViewId="0">
      <selection activeCell="B9" sqref="B9"/>
    </sheetView>
  </sheetViews>
  <sheetFormatPr defaultRowHeight="15"/>
  <cols>
    <col min="2" max="2" width="26.28515625" bestFit="1" customWidth="1"/>
    <col min="3" max="3" width="33" bestFit="1" customWidth="1"/>
    <col min="4" max="4" width="19.42578125" bestFit="1" customWidth="1"/>
    <col min="5" max="5" width="22.7109375" bestFit="1" customWidth="1"/>
    <col min="9" max="9" width="10.5703125" bestFit="1" customWidth="1"/>
    <col min="10" max="10" width="12.42578125" bestFit="1" customWidth="1"/>
    <col min="11" max="11" width="17.42578125" bestFit="1" customWidth="1"/>
    <col min="12" max="12" width="19.28515625" bestFit="1" customWidth="1"/>
    <col min="13" max="13" width="19.140625" bestFit="1" customWidth="1"/>
    <col min="15" max="15" width="9.28515625" bestFit="1" customWidth="1"/>
    <col min="18" max="18" width="21.42578125" bestFit="1" customWidth="1"/>
    <col min="22" max="22" width="26.140625" bestFit="1" customWidth="1"/>
  </cols>
  <sheetData>
    <row r="1" spans="1:22">
      <c r="A1" s="260"/>
      <c r="B1" s="260"/>
      <c r="C1" s="260"/>
      <c r="D1" s="260"/>
      <c r="E1" s="260"/>
      <c r="F1" s="260"/>
      <c r="G1" s="260"/>
      <c r="H1" s="260"/>
      <c r="I1" s="260"/>
      <c r="J1" s="260"/>
      <c r="K1" s="260"/>
      <c r="L1" s="260"/>
      <c r="M1" s="260"/>
      <c r="N1" s="260"/>
      <c r="O1" s="260"/>
      <c r="P1" s="260"/>
      <c r="Q1" s="260"/>
      <c r="R1" s="260"/>
      <c r="S1" s="260"/>
      <c r="T1" s="260"/>
      <c r="U1" s="260"/>
    </row>
    <row r="2" spans="1:22">
      <c r="A2" s="260"/>
      <c r="B2" s="260"/>
      <c r="C2" s="260"/>
      <c r="D2" s="260"/>
      <c r="E2" s="260"/>
      <c r="F2" s="260"/>
      <c r="G2" s="260"/>
      <c r="H2" s="260"/>
      <c r="I2" s="260"/>
      <c r="J2" s="260"/>
      <c r="K2" s="260"/>
      <c r="L2" s="260"/>
      <c r="M2" s="260"/>
      <c r="N2" s="260"/>
      <c r="O2" s="260"/>
      <c r="P2" s="260"/>
      <c r="Q2" s="260"/>
      <c r="R2" s="260"/>
      <c r="S2" s="260"/>
      <c r="T2" s="260"/>
      <c r="U2" s="260"/>
    </row>
    <row r="4" spans="1:22">
      <c r="A4" s="5" t="s">
        <v>0</v>
      </c>
      <c r="B4" s="6" t="s">
        <v>1</v>
      </c>
      <c r="C4" s="6" t="s">
        <v>2</v>
      </c>
      <c r="D4" s="6" t="s">
        <v>3</v>
      </c>
      <c r="E4" s="7" t="s">
        <v>4</v>
      </c>
      <c r="F4" s="7" t="s">
        <v>6</v>
      </c>
      <c r="G4" s="7" t="s">
        <v>7</v>
      </c>
      <c r="H4" s="7" t="s">
        <v>8</v>
      </c>
      <c r="I4" s="8" t="s">
        <v>9</v>
      </c>
      <c r="J4" s="8" t="s">
        <v>10</v>
      </c>
      <c r="K4" s="7" t="s">
        <v>11</v>
      </c>
      <c r="L4" s="7" t="s">
        <v>12</v>
      </c>
      <c r="M4" s="6" t="s">
        <v>13</v>
      </c>
      <c r="N4" s="6" t="s">
        <v>271</v>
      </c>
      <c r="O4" s="6" t="s">
        <v>14</v>
      </c>
      <c r="P4" s="6" t="s">
        <v>15</v>
      </c>
      <c r="Q4" s="7" t="s">
        <v>16</v>
      </c>
      <c r="R4" s="7" t="s">
        <v>272</v>
      </c>
      <c r="S4" s="7" t="s">
        <v>18</v>
      </c>
      <c r="T4" s="9" t="s">
        <v>19</v>
      </c>
      <c r="U4" s="7" t="s">
        <v>16</v>
      </c>
      <c r="V4" s="10" t="s">
        <v>22</v>
      </c>
    </row>
    <row r="5" spans="1:22">
      <c r="A5" s="37"/>
      <c r="B5" s="261"/>
      <c r="C5" s="261"/>
      <c r="D5" s="261"/>
      <c r="E5" s="261"/>
      <c r="F5" s="264"/>
      <c r="G5" s="265"/>
      <c r="H5" s="265"/>
      <c r="I5" s="262"/>
      <c r="J5" s="39"/>
      <c r="K5" s="38"/>
      <c r="L5" s="38"/>
      <c r="M5" s="58"/>
      <c r="N5" s="263"/>
      <c r="O5" s="40"/>
      <c r="P5" s="37"/>
      <c r="Q5" s="37"/>
      <c r="R5" s="41"/>
      <c r="S5" s="41"/>
      <c r="T5" s="42"/>
      <c r="U5" s="43"/>
      <c r="V5" s="44"/>
    </row>
    <row r="6" spans="1:22">
      <c r="A6" s="37"/>
      <c r="B6" s="261"/>
      <c r="C6" s="261"/>
      <c r="D6" s="261"/>
      <c r="E6" s="261"/>
      <c r="F6" s="264"/>
      <c r="G6" s="265"/>
      <c r="H6" s="265"/>
      <c r="I6" s="262"/>
      <c r="J6" s="39"/>
      <c r="K6" s="38"/>
      <c r="L6" s="38"/>
      <c r="M6" s="58"/>
      <c r="N6" s="263"/>
      <c r="O6" s="40"/>
      <c r="P6" s="37"/>
      <c r="Q6" s="37"/>
      <c r="R6" s="41"/>
      <c r="S6" s="41"/>
      <c r="T6" s="42"/>
      <c r="U6" s="43"/>
      <c r="V6" s="44"/>
    </row>
    <row r="9" spans="1:22">
      <c r="B9" s="266"/>
    </row>
  </sheetData>
  <conditionalFormatting sqref="M5:M6">
    <cfRule type="iconSet" priority="1">
      <iconSet iconSet="3Symbols">
        <cfvo type="percent" val="0"/>
        <cfvo type="num" val="30"/>
        <cfvo type="num" val="60"/>
      </iconSet>
    </cfRule>
  </conditionalFormatting>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3EAC5-0D7C-41A0-8665-417859B6CA2F}">
  <sheetPr>
    <tabColor rgb="FFFF0000"/>
  </sheetPr>
  <dimension ref="A1:Y197"/>
  <sheetViews>
    <sheetView topLeftCell="A122" zoomScale="90" zoomScaleNormal="90" workbookViewId="0">
      <selection activeCell="B141" sqref="B141"/>
    </sheetView>
  </sheetViews>
  <sheetFormatPr defaultRowHeight="15" customHeight="1"/>
  <cols>
    <col min="1" max="1" width="5.85546875" bestFit="1" customWidth="1"/>
    <col min="2" max="2" width="43.7109375" bestFit="1" customWidth="1"/>
    <col min="3" max="3" width="28.7109375" customWidth="1"/>
    <col min="4" max="4" width="20.28515625" bestFit="1" customWidth="1"/>
    <col min="5" max="5" width="11" bestFit="1" customWidth="1"/>
    <col min="6" max="6" width="13.140625" bestFit="1" customWidth="1"/>
    <col min="7" max="7" width="17.7109375" bestFit="1" customWidth="1"/>
    <col min="8" max="8" width="20.140625" bestFit="1" customWidth="1"/>
    <col min="9" max="9" width="20.7109375" bestFit="1" customWidth="1"/>
    <col min="10" max="11" width="12.85546875" bestFit="1" customWidth="1"/>
    <col min="12" max="12" width="18.140625" bestFit="1" customWidth="1"/>
    <col min="13" max="13" width="19.28515625" bestFit="1" customWidth="1"/>
    <col min="14" max="14" width="22.5703125" bestFit="1" customWidth="1"/>
    <col min="15" max="15" width="14" bestFit="1" customWidth="1"/>
    <col min="16" max="16" width="21.28515625" bestFit="1" customWidth="1"/>
    <col min="17" max="17" width="19.28515625" bestFit="1" customWidth="1"/>
    <col min="18" max="18" width="27.140625" bestFit="1" customWidth="1"/>
    <col min="20" max="20" width="27.140625" bestFit="1" customWidth="1"/>
    <col min="21" max="21" width="12.42578125" bestFit="1" customWidth="1"/>
  </cols>
  <sheetData>
    <row r="1" spans="1:20" ht="16.5">
      <c r="A1" s="349" t="s">
        <v>384</v>
      </c>
      <c r="B1" s="349"/>
      <c r="C1" s="349"/>
      <c r="D1" s="349"/>
      <c r="E1" s="349"/>
      <c r="F1" s="349"/>
      <c r="G1" s="349"/>
      <c r="H1" s="349"/>
      <c r="I1" s="349"/>
      <c r="J1" s="349"/>
      <c r="K1" s="349"/>
      <c r="L1" s="349"/>
      <c r="M1" s="349"/>
      <c r="N1" s="349"/>
      <c r="O1" s="349"/>
      <c r="P1" s="349"/>
      <c r="Q1" s="349"/>
      <c r="R1" s="349"/>
      <c r="S1" s="120"/>
      <c r="T1" s="120"/>
    </row>
    <row r="2" spans="1:20" s="2" customFormat="1">
      <c r="A2" s="349"/>
      <c r="B2" s="349"/>
      <c r="C2" s="349"/>
      <c r="D2" s="349"/>
      <c r="E2" s="349"/>
      <c r="F2" s="349"/>
      <c r="G2" s="349"/>
      <c r="H2" s="349"/>
      <c r="I2" s="349"/>
      <c r="J2" s="349"/>
      <c r="K2" s="349"/>
      <c r="L2" s="349"/>
      <c r="M2" s="349"/>
      <c r="N2" s="349"/>
      <c r="O2" s="349"/>
      <c r="P2" s="349"/>
      <c r="Q2" s="349"/>
      <c r="R2" s="349"/>
      <c r="S2" s="121" t="s">
        <v>16</v>
      </c>
      <c r="T2" s="122" t="s">
        <v>22</v>
      </c>
    </row>
    <row r="3" spans="1:20" ht="16.5">
      <c r="A3" s="350" t="s">
        <v>385</v>
      </c>
      <c r="B3" s="351"/>
      <c r="C3" s="351"/>
      <c r="D3" s="351"/>
      <c r="E3" s="351"/>
      <c r="F3" s="351"/>
      <c r="G3" s="351"/>
      <c r="H3" s="351"/>
      <c r="I3" s="351"/>
      <c r="J3" s="351"/>
      <c r="K3" s="351"/>
      <c r="L3" s="351"/>
      <c r="M3" s="351"/>
      <c r="N3" s="351"/>
      <c r="O3" s="351"/>
      <c r="P3" s="351"/>
      <c r="Q3" s="351"/>
      <c r="R3" s="351"/>
      <c r="S3" s="135">
        <v>0</v>
      </c>
      <c r="T3" s="133" t="s">
        <v>386</v>
      </c>
    </row>
    <row r="4" spans="1:20">
      <c r="A4" s="121" t="s">
        <v>0</v>
      </c>
      <c r="B4" s="121" t="s">
        <v>1</v>
      </c>
      <c r="C4" s="121" t="s">
        <v>4</v>
      </c>
      <c r="D4" s="121" t="s">
        <v>6</v>
      </c>
      <c r="E4" s="121" t="s">
        <v>7</v>
      </c>
      <c r="F4" s="121" t="s">
        <v>8</v>
      </c>
      <c r="G4" s="121" t="s">
        <v>9</v>
      </c>
      <c r="H4" s="121" t="s">
        <v>10</v>
      </c>
      <c r="I4" s="121" t="s">
        <v>11</v>
      </c>
      <c r="J4" s="121" t="s">
        <v>12</v>
      </c>
      <c r="K4" s="121" t="s">
        <v>387</v>
      </c>
      <c r="L4" s="121" t="s">
        <v>271</v>
      </c>
      <c r="M4" s="121" t="s">
        <v>14</v>
      </c>
      <c r="N4" s="121" t="s">
        <v>15</v>
      </c>
      <c r="O4" s="121" t="s">
        <v>16</v>
      </c>
      <c r="P4" s="121" t="s">
        <v>272</v>
      </c>
      <c r="Q4" s="121" t="s">
        <v>18</v>
      </c>
      <c r="R4" s="121" t="s">
        <v>388</v>
      </c>
      <c r="S4" s="146" t="s">
        <v>389</v>
      </c>
      <c r="T4" s="147" t="s">
        <v>389</v>
      </c>
    </row>
    <row r="5" spans="1:20" ht="15.75" customHeight="1">
      <c r="A5" s="123">
        <v>37</v>
      </c>
      <c r="B5" s="124" t="s">
        <v>390</v>
      </c>
      <c r="C5" s="125" t="s">
        <v>164</v>
      </c>
      <c r="D5" s="125" t="s">
        <v>391</v>
      </c>
      <c r="E5" s="126" t="s">
        <v>392</v>
      </c>
      <c r="F5" s="125" t="s">
        <v>278</v>
      </c>
      <c r="G5" s="127">
        <v>45131</v>
      </c>
      <c r="H5" s="128">
        <v>45654</v>
      </c>
      <c r="I5" s="130">
        <v>45222</v>
      </c>
      <c r="J5" s="130">
        <v>45618</v>
      </c>
      <c r="K5" s="125" t="s">
        <v>389</v>
      </c>
      <c r="L5" s="131">
        <v>95</v>
      </c>
      <c r="M5" s="89" t="s">
        <v>389</v>
      </c>
      <c r="N5" s="132" t="s">
        <v>389</v>
      </c>
      <c r="O5" s="132">
        <v>168</v>
      </c>
      <c r="P5" s="125" t="s">
        <v>389</v>
      </c>
      <c r="Q5" s="132" t="s">
        <v>393</v>
      </c>
      <c r="R5" s="134">
        <v>137.55000000000001</v>
      </c>
      <c r="S5" s="154">
        <v>0</v>
      </c>
      <c r="T5" s="152" t="s">
        <v>386</v>
      </c>
    </row>
    <row r="6" spans="1:20" ht="15.75" customHeight="1">
      <c r="A6" s="136" t="s">
        <v>389</v>
      </c>
      <c r="B6" s="137" t="s">
        <v>394</v>
      </c>
      <c r="C6" s="138" t="s">
        <v>395</v>
      </c>
      <c r="D6" s="138" t="s">
        <v>396</v>
      </c>
      <c r="E6" s="139" t="s">
        <v>392</v>
      </c>
      <c r="F6" s="138" t="s">
        <v>278</v>
      </c>
      <c r="G6" s="140">
        <v>44837</v>
      </c>
      <c r="H6" s="142">
        <v>45230</v>
      </c>
      <c r="I6" s="140">
        <v>45222</v>
      </c>
      <c r="J6" s="140">
        <v>45618</v>
      </c>
      <c r="K6" s="138" t="s">
        <v>389</v>
      </c>
      <c r="L6" s="143">
        <v>80</v>
      </c>
      <c r="M6" s="94" t="s">
        <v>389</v>
      </c>
      <c r="N6" s="138" t="s">
        <v>389</v>
      </c>
      <c r="O6" s="144" t="s">
        <v>397</v>
      </c>
      <c r="P6" s="144" t="s">
        <v>389</v>
      </c>
      <c r="Q6" s="145">
        <v>134</v>
      </c>
      <c r="R6" s="145">
        <v>134</v>
      </c>
      <c r="S6" s="137" t="s">
        <v>389</v>
      </c>
      <c r="T6" s="146" t="s">
        <v>389</v>
      </c>
    </row>
    <row r="7" spans="1:20" ht="15.75" customHeight="1">
      <c r="A7" s="148">
        <v>37</v>
      </c>
      <c r="B7" s="138" t="s">
        <v>398</v>
      </c>
      <c r="C7" s="138" t="s">
        <v>164</v>
      </c>
      <c r="D7" s="138" t="s">
        <v>391</v>
      </c>
      <c r="E7" s="139" t="s">
        <v>392</v>
      </c>
      <c r="F7" s="138" t="s">
        <v>278</v>
      </c>
      <c r="G7" s="140">
        <v>44753</v>
      </c>
      <c r="H7" s="149">
        <v>45654</v>
      </c>
      <c r="I7" s="151">
        <v>45222</v>
      </c>
      <c r="J7" s="151">
        <v>45618</v>
      </c>
      <c r="K7" s="138" t="s">
        <v>389</v>
      </c>
      <c r="L7" s="143">
        <v>93</v>
      </c>
      <c r="M7" s="94" t="s">
        <v>389</v>
      </c>
      <c r="N7" s="144" t="s">
        <v>389</v>
      </c>
      <c r="O7" s="144" t="s">
        <v>389</v>
      </c>
      <c r="P7" s="138" t="s">
        <v>389</v>
      </c>
      <c r="Q7" s="144" t="s">
        <v>393</v>
      </c>
      <c r="R7" s="153">
        <v>137.55000000000001</v>
      </c>
      <c r="S7" s="137" t="e">
        <v>#REF!</v>
      </c>
      <c r="T7" s="146" t="s">
        <v>389</v>
      </c>
    </row>
    <row r="8" spans="1:20" ht="15.75" customHeight="1">
      <c r="A8" s="136">
        <v>6</v>
      </c>
      <c r="B8" s="138" t="s">
        <v>399</v>
      </c>
      <c r="C8" s="138" t="s">
        <v>400</v>
      </c>
      <c r="D8" s="138" t="s">
        <v>401</v>
      </c>
      <c r="E8" s="139" t="s">
        <v>392</v>
      </c>
      <c r="F8" s="138" t="s">
        <v>402</v>
      </c>
      <c r="G8" s="140">
        <v>45203</v>
      </c>
      <c r="H8" s="149">
        <v>45266</v>
      </c>
      <c r="I8" s="140">
        <v>45222</v>
      </c>
      <c r="J8" s="140">
        <v>45618</v>
      </c>
      <c r="K8" s="138" t="s">
        <v>389</v>
      </c>
      <c r="L8" s="143">
        <v>171.3</v>
      </c>
      <c r="M8" s="94" t="s">
        <v>389</v>
      </c>
      <c r="N8" s="138" t="s">
        <v>389</v>
      </c>
      <c r="O8" s="144" t="s">
        <v>397</v>
      </c>
      <c r="P8" s="144" t="s">
        <v>389</v>
      </c>
      <c r="Q8" s="145">
        <v>237.3</v>
      </c>
      <c r="R8" s="138">
        <v>237.3</v>
      </c>
      <c r="S8" s="137" t="e">
        <v>#REF!</v>
      </c>
      <c r="T8" s="146" t="s">
        <v>389</v>
      </c>
    </row>
    <row r="9" spans="1:20" ht="15.75" customHeight="1">
      <c r="A9" s="136">
        <v>1</v>
      </c>
      <c r="B9" s="137" t="s">
        <v>403</v>
      </c>
      <c r="C9" s="138" t="s">
        <v>404</v>
      </c>
      <c r="D9" s="138" t="s">
        <v>396</v>
      </c>
      <c r="E9" s="139" t="s">
        <v>392</v>
      </c>
      <c r="F9" s="138" t="s">
        <v>402</v>
      </c>
      <c r="G9" s="140">
        <v>45089</v>
      </c>
      <c r="H9" s="142">
        <v>45329</v>
      </c>
      <c r="I9" s="140">
        <v>45222</v>
      </c>
      <c r="J9" s="140">
        <v>45618</v>
      </c>
      <c r="K9" s="138" t="s">
        <v>389</v>
      </c>
      <c r="L9" s="143">
        <v>50</v>
      </c>
      <c r="M9" s="94" t="s">
        <v>389</v>
      </c>
      <c r="N9" s="138" t="s">
        <v>389</v>
      </c>
      <c r="O9" s="144" t="s">
        <v>397</v>
      </c>
      <c r="P9" s="144" t="s">
        <v>389</v>
      </c>
      <c r="Q9" s="94" t="s">
        <v>389</v>
      </c>
      <c r="R9" s="145">
        <v>113.1</v>
      </c>
      <c r="S9" s="137" t="e">
        <v>#REF!</v>
      </c>
      <c r="T9" s="146" t="s">
        <v>389</v>
      </c>
    </row>
    <row r="10" spans="1:20" ht="15.75" customHeight="1">
      <c r="A10" s="136" t="s">
        <v>389</v>
      </c>
      <c r="B10" s="137" t="s">
        <v>405</v>
      </c>
      <c r="C10" s="138" t="s">
        <v>406</v>
      </c>
      <c r="D10" s="138" t="s">
        <v>391</v>
      </c>
      <c r="E10" s="139" t="s">
        <v>392</v>
      </c>
      <c r="F10" s="138" t="s">
        <v>278</v>
      </c>
      <c r="G10" s="140">
        <v>44839</v>
      </c>
      <c r="H10" s="142">
        <v>45229</v>
      </c>
      <c r="I10" s="140">
        <v>45222</v>
      </c>
      <c r="J10" s="140">
        <v>45618</v>
      </c>
      <c r="K10" s="138" t="s">
        <v>389</v>
      </c>
      <c r="L10" s="143">
        <v>95</v>
      </c>
      <c r="M10" s="94" t="s">
        <v>389</v>
      </c>
      <c r="N10" s="138" t="s">
        <v>389</v>
      </c>
      <c r="O10" s="144" t="s">
        <v>397</v>
      </c>
      <c r="P10" s="144" t="s">
        <v>389</v>
      </c>
      <c r="Q10" s="94" t="s">
        <v>389</v>
      </c>
      <c r="R10" s="145">
        <v>137.55000000000001</v>
      </c>
      <c r="S10" s="137" t="e">
        <v>#REF!</v>
      </c>
      <c r="T10" s="146" t="s">
        <v>389</v>
      </c>
    </row>
    <row r="11" spans="1:20" ht="15.75" customHeight="1">
      <c r="A11" s="148">
        <v>1</v>
      </c>
      <c r="B11" s="137" t="s">
        <v>407</v>
      </c>
      <c r="C11" s="138" t="s">
        <v>408</v>
      </c>
      <c r="D11" s="138" t="s">
        <v>396</v>
      </c>
      <c r="E11" s="139" t="s">
        <v>392</v>
      </c>
      <c r="F11" s="138" t="s">
        <v>278</v>
      </c>
      <c r="G11" s="140">
        <v>45075</v>
      </c>
      <c r="H11" s="149">
        <v>45414</v>
      </c>
      <c r="I11" s="151">
        <v>45222</v>
      </c>
      <c r="J11" s="151">
        <v>45618</v>
      </c>
      <c r="K11" s="138" t="s">
        <v>389</v>
      </c>
      <c r="L11" s="143">
        <v>59.52</v>
      </c>
      <c r="M11" s="94" t="s">
        <v>389</v>
      </c>
      <c r="N11" s="138" t="s">
        <v>389</v>
      </c>
      <c r="O11" s="144" t="s">
        <v>397</v>
      </c>
      <c r="P11" s="155">
        <v>164.16</v>
      </c>
      <c r="Q11" s="94" t="s">
        <v>389</v>
      </c>
      <c r="R11" s="145">
        <v>101.19</v>
      </c>
      <c r="S11" s="137" t="e">
        <v>#REF!</v>
      </c>
      <c r="T11" s="146" t="s">
        <v>389</v>
      </c>
    </row>
    <row r="12" spans="1:20" ht="15.75" customHeight="1">
      <c r="A12" s="148">
        <v>1</v>
      </c>
      <c r="B12" s="138" t="s">
        <v>409</v>
      </c>
      <c r="C12" s="138" t="s">
        <v>410</v>
      </c>
      <c r="D12" s="138" t="s">
        <v>396</v>
      </c>
      <c r="E12" s="139" t="s">
        <v>392</v>
      </c>
      <c r="F12" s="138" t="s">
        <v>402</v>
      </c>
      <c r="G12" s="140">
        <v>45082</v>
      </c>
      <c r="H12" s="149">
        <v>45082</v>
      </c>
      <c r="I12" s="151">
        <v>45222</v>
      </c>
      <c r="J12" s="151">
        <v>45618</v>
      </c>
      <c r="K12" s="138" t="s">
        <v>389</v>
      </c>
      <c r="L12" s="143">
        <v>50</v>
      </c>
      <c r="M12" s="94" t="s">
        <v>389</v>
      </c>
      <c r="N12" s="138" t="s">
        <v>389</v>
      </c>
      <c r="O12" s="144" t="s">
        <v>397</v>
      </c>
      <c r="P12" s="144" t="s">
        <v>411</v>
      </c>
      <c r="Q12" s="94" t="s">
        <v>389</v>
      </c>
      <c r="R12" s="145">
        <v>113.1</v>
      </c>
      <c r="S12" s="137" t="e">
        <v>#REF!</v>
      </c>
      <c r="T12" s="146" t="s">
        <v>389</v>
      </c>
    </row>
    <row r="13" spans="1:20" ht="15.75" customHeight="1">
      <c r="A13" s="136" t="s">
        <v>389</v>
      </c>
      <c r="B13" s="138" t="s">
        <v>412</v>
      </c>
      <c r="C13" s="138" t="s">
        <v>413</v>
      </c>
      <c r="D13" s="138" t="s">
        <v>391</v>
      </c>
      <c r="E13" s="139" t="s">
        <v>392</v>
      </c>
      <c r="F13" s="138" t="s">
        <v>278</v>
      </c>
      <c r="G13" s="140">
        <v>45040</v>
      </c>
      <c r="H13" s="149">
        <v>45230</v>
      </c>
      <c r="I13" s="140">
        <v>45222</v>
      </c>
      <c r="J13" s="140">
        <v>45618</v>
      </c>
      <c r="K13" s="138" t="s">
        <v>389</v>
      </c>
      <c r="L13" s="143">
        <v>71.430000000000007</v>
      </c>
      <c r="M13" s="94" t="s">
        <v>389</v>
      </c>
      <c r="N13" s="138" t="s">
        <v>389</v>
      </c>
      <c r="O13" s="144" t="s">
        <v>397</v>
      </c>
      <c r="P13" s="144" t="s">
        <v>389</v>
      </c>
      <c r="Q13" s="94" t="s">
        <v>389</v>
      </c>
      <c r="R13" s="145">
        <v>122.02</v>
      </c>
      <c r="S13" s="137" t="e">
        <v>#REF!</v>
      </c>
      <c r="T13" s="147" t="s">
        <v>389</v>
      </c>
    </row>
    <row r="14" spans="1:20" ht="15.75" customHeight="1">
      <c r="A14" s="136" t="s">
        <v>389</v>
      </c>
      <c r="B14" s="138" t="s">
        <v>414</v>
      </c>
      <c r="C14" s="138" t="s">
        <v>415</v>
      </c>
      <c r="D14" s="138" t="s">
        <v>389</v>
      </c>
      <c r="E14" s="139" t="s">
        <v>392</v>
      </c>
      <c r="F14" s="138" t="s">
        <v>278</v>
      </c>
      <c r="G14" s="140">
        <v>44516</v>
      </c>
      <c r="H14" s="149">
        <v>45191</v>
      </c>
      <c r="I14" s="140">
        <v>45222</v>
      </c>
      <c r="J14" s="140">
        <v>45618</v>
      </c>
      <c r="K14" s="138" t="s">
        <v>389</v>
      </c>
      <c r="L14" s="143">
        <v>75</v>
      </c>
      <c r="M14" s="94" t="s">
        <v>389</v>
      </c>
      <c r="N14" s="138" t="s">
        <v>389</v>
      </c>
      <c r="O14" s="144" t="s">
        <v>397</v>
      </c>
      <c r="P14" s="144" t="s">
        <v>389</v>
      </c>
      <c r="Q14" s="94" t="s">
        <v>389</v>
      </c>
      <c r="R14" s="145">
        <v>138</v>
      </c>
      <c r="S14" s="137" t="e">
        <v>#REF!</v>
      </c>
      <c r="T14" s="146" t="s">
        <v>389</v>
      </c>
    </row>
    <row r="15" spans="1:20" ht="15.75" customHeight="1">
      <c r="A15" s="148">
        <v>1</v>
      </c>
      <c r="B15" s="138" t="s">
        <v>416</v>
      </c>
      <c r="C15" s="138" t="s">
        <v>410</v>
      </c>
      <c r="D15" s="138" t="s">
        <v>396</v>
      </c>
      <c r="E15" s="139" t="s">
        <v>392</v>
      </c>
      <c r="F15" s="138" t="s">
        <v>402</v>
      </c>
      <c r="G15" s="151">
        <v>45372</v>
      </c>
      <c r="H15" s="149">
        <v>45568</v>
      </c>
      <c r="I15" s="151">
        <v>45222</v>
      </c>
      <c r="J15" s="151">
        <v>45618</v>
      </c>
      <c r="K15" s="138" t="s">
        <v>389</v>
      </c>
      <c r="L15" s="143">
        <v>50.36</v>
      </c>
      <c r="M15" s="94" t="s">
        <v>389</v>
      </c>
      <c r="N15" s="138" t="s">
        <v>389</v>
      </c>
      <c r="O15" s="144" t="s">
        <v>389</v>
      </c>
      <c r="P15" s="144" t="s">
        <v>389</v>
      </c>
      <c r="Q15" s="94" t="s">
        <v>389</v>
      </c>
      <c r="R15" s="145">
        <v>113.1</v>
      </c>
      <c r="S15" s="137" t="e">
        <v>#REF!</v>
      </c>
      <c r="T15" s="146" t="s">
        <v>389</v>
      </c>
    </row>
    <row r="16" spans="1:20" ht="15.75" customHeight="1">
      <c r="A16" s="136">
        <v>1</v>
      </c>
      <c r="B16" s="138" t="s">
        <v>417</v>
      </c>
      <c r="C16" s="138" t="s">
        <v>404</v>
      </c>
      <c r="D16" s="138" t="s">
        <v>396</v>
      </c>
      <c r="E16" s="139" t="s">
        <v>392</v>
      </c>
      <c r="F16" s="138" t="s">
        <v>402</v>
      </c>
      <c r="G16" s="140">
        <v>45082</v>
      </c>
      <c r="H16" s="149">
        <v>45365</v>
      </c>
      <c r="I16" s="140">
        <v>45222</v>
      </c>
      <c r="J16" s="140">
        <v>45618</v>
      </c>
      <c r="K16" s="138" t="s">
        <v>389</v>
      </c>
      <c r="L16" s="143">
        <v>50</v>
      </c>
      <c r="M16" s="94" t="s">
        <v>389</v>
      </c>
      <c r="N16" s="138" t="s">
        <v>389</v>
      </c>
      <c r="O16" s="144" t="s">
        <v>397</v>
      </c>
      <c r="P16" s="144" t="s">
        <v>389</v>
      </c>
      <c r="Q16" s="94" t="s">
        <v>389</v>
      </c>
      <c r="R16" s="145">
        <v>128</v>
      </c>
      <c r="S16" s="154">
        <v>0</v>
      </c>
      <c r="T16" s="152" t="s">
        <v>386</v>
      </c>
    </row>
    <row r="17" spans="1:20" ht="15.75" customHeight="1">
      <c r="A17" s="136" t="s">
        <v>389</v>
      </c>
      <c r="B17" s="156" t="s">
        <v>418</v>
      </c>
      <c r="C17" s="138" t="s">
        <v>419</v>
      </c>
      <c r="D17" s="138" t="s">
        <v>391</v>
      </c>
      <c r="E17" s="139" t="s">
        <v>392</v>
      </c>
      <c r="F17" s="138" t="s">
        <v>278</v>
      </c>
      <c r="G17" s="140">
        <v>44928</v>
      </c>
      <c r="H17" s="142">
        <v>45184</v>
      </c>
      <c r="I17" s="140">
        <v>45222</v>
      </c>
      <c r="J17" s="140">
        <v>45618</v>
      </c>
      <c r="K17" s="138" t="s">
        <v>389</v>
      </c>
      <c r="L17" s="143">
        <v>85</v>
      </c>
      <c r="M17" s="94" t="s">
        <v>389</v>
      </c>
      <c r="N17" s="138" t="s">
        <v>389</v>
      </c>
      <c r="O17" s="144" t="s">
        <v>397</v>
      </c>
      <c r="P17" s="144" t="s">
        <v>389</v>
      </c>
      <c r="Q17" s="94" t="s">
        <v>389</v>
      </c>
      <c r="R17" s="145">
        <v>138</v>
      </c>
      <c r="S17" s="137" t="e">
        <v>#REF!</v>
      </c>
      <c r="T17" s="146" t="s">
        <v>389</v>
      </c>
    </row>
    <row r="18" spans="1:20" ht="15.75" customHeight="1">
      <c r="A18" s="148">
        <v>12</v>
      </c>
      <c r="B18" s="137" t="s">
        <v>420</v>
      </c>
      <c r="C18" s="138" t="s">
        <v>421</v>
      </c>
      <c r="D18" s="138" t="s">
        <v>422</v>
      </c>
      <c r="E18" s="139" t="s">
        <v>392</v>
      </c>
      <c r="F18" s="138" t="s">
        <v>402</v>
      </c>
      <c r="G18" s="140">
        <v>45387</v>
      </c>
      <c r="H18" s="142">
        <v>45597</v>
      </c>
      <c r="I18" s="151">
        <v>45372</v>
      </c>
      <c r="J18" s="151">
        <v>45736</v>
      </c>
      <c r="K18" s="138" t="s">
        <v>389</v>
      </c>
      <c r="L18" s="138" t="e">
        <v>#DIV/0!</v>
      </c>
      <c r="M18" s="155">
        <v>2881.22</v>
      </c>
      <c r="N18" s="155">
        <v>8502.7800000000007</v>
      </c>
      <c r="O18" s="94" t="s">
        <v>389</v>
      </c>
      <c r="P18" s="138" t="s">
        <v>389</v>
      </c>
      <c r="Q18" s="155">
        <v>11384</v>
      </c>
      <c r="R18" s="153">
        <v>137.55000000000001</v>
      </c>
      <c r="S18" s="137" t="e">
        <v>#REF!</v>
      </c>
      <c r="T18" s="146" t="s">
        <v>389</v>
      </c>
    </row>
    <row r="19" spans="1:20" ht="15.75" customHeight="1">
      <c r="A19" s="136">
        <v>4</v>
      </c>
      <c r="B19" s="138" t="s">
        <v>423</v>
      </c>
      <c r="C19" s="138" t="s">
        <v>424</v>
      </c>
      <c r="D19" s="138" t="s">
        <v>401</v>
      </c>
      <c r="E19" s="139" t="s">
        <v>392</v>
      </c>
      <c r="F19" s="138" t="s">
        <v>402</v>
      </c>
      <c r="G19" s="140">
        <v>45089</v>
      </c>
      <c r="H19" s="149">
        <v>45381</v>
      </c>
      <c r="I19" s="140">
        <v>45222</v>
      </c>
      <c r="J19" s="140">
        <v>45618</v>
      </c>
      <c r="K19" s="138" t="s">
        <v>389</v>
      </c>
      <c r="L19" s="143">
        <v>101.19</v>
      </c>
      <c r="M19" s="94" t="s">
        <v>389</v>
      </c>
      <c r="N19" s="138" t="s">
        <v>389</v>
      </c>
      <c r="O19" s="144" t="s">
        <v>397</v>
      </c>
      <c r="P19" s="155">
        <v>373.24</v>
      </c>
      <c r="Q19" s="94" t="s">
        <v>389</v>
      </c>
      <c r="R19" s="145">
        <v>185.85</v>
      </c>
      <c r="S19" s="137" t="e">
        <v>#REF!</v>
      </c>
      <c r="T19" s="137" t="s">
        <v>389</v>
      </c>
    </row>
    <row r="20" spans="1:20" ht="15.75" customHeight="1">
      <c r="A20" s="136">
        <v>5</v>
      </c>
      <c r="B20" s="138" t="s">
        <v>425</v>
      </c>
      <c r="C20" s="138" t="s">
        <v>426</v>
      </c>
      <c r="D20" s="138" t="s">
        <v>391</v>
      </c>
      <c r="E20" s="139" t="s">
        <v>392</v>
      </c>
      <c r="F20" s="138" t="s">
        <v>278</v>
      </c>
      <c r="G20" s="140">
        <v>45054</v>
      </c>
      <c r="H20" s="149">
        <v>45328</v>
      </c>
      <c r="I20" s="140">
        <v>45222</v>
      </c>
      <c r="J20" s="140">
        <v>45618</v>
      </c>
      <c r="K20" s="138" t="s">
        <v>389</v>
      </c>
      <c r="L20" s="143">
        <v>90</v>
      </c>
      <c r="M20" s="94" t="s">
        <v>389</v>
      </c>
      <c r="N20" s="138" t="s">
        <v>389</v>
      </c>
      <c r="O20" s="144" t="s">
        <v>397</v>
      </c>
      <c r="P20" s="144" t="s">
        <v>411</v>
      </c>
      <c r="Q20" s="94" t="s">
        <v>389</v>
      </c>
      <c r="R20" s="145">
        <v>137.55000000000001</v>
      </c>
      <c r="S20" s="137" t="e">
        <v>#REF!</v>
      </c>
      <c r="T20" s="147" t="s">
        <v>389</v>
      </c>
    </row>
    <row r="21" spans="1:20" ht="15.75" customHeight="1">
      <c r="A21" s="136" t="s">
        <v>389</v>
      </c>
      <c r="B21" s="138" t="s">
        <v>427</v>
      </c>
      <c r="C21" s="138" t="s">
        <v>428</v>
      </c>
      <c r="D21" s="138" t="s">
        <v>391</v>
      </c>
      <c r="E21" s="139" t="s">
        <v>392</v>
      </c>
      <c r="F21" s="138" t="s">
        <v>278</v>
      </c>
      <c r="G21" s="140">
        <v>44649</v>
      </c>
      <c r="H21" s="149">
        <v>45472</v>
      </c>
      <c r="I21" s="151">
        <v>45222</v>
      </c>
      <c r="J21" s="151">
        <v>45618</v>
      </c>
      <c r="K21" s="138" t="s">
        <v>389</v>
      </c>
      <c r="L21" s="143">
        <v>104.5</v>
      </c>
      <c r="M21" s="94" t="s">
        <v>389</v>
      </c>
      <c r="N21" s="138" t="s">
        <v>389</v>
      </c>
      <c r="O21" s="144" t="s">
        <v>397</v>
      </c>
      <c r="P21" s="155">
        <v>164.16</v>
      </c>
      <c r="Q21" s="94" t="s">
        <v>389</v>
      </c>
      <c r="R21" s="145">
        <v>153.30000000000001</v>
      </c>
      <c r="S21" s="137" t="e">
        <v>#REF!</v>
      </c>
      <c r="T21" s="146" t="s">
        <v>389</v>
      </c>
    </row>
    <row r="22" spans="1:20" ht="15.75" customHeight="1">
      <c r="A22" s="148">
        <v>3</v>
      </c>
      <c r="B22" s="138" t="s">
        <v>429</v>
      </c>
      <c r="C22" s="138" t="s">
        <v>430</v>
      </c>
      <c r="D22" s="138" t="s">
        <v>431</v>
      </c>
      <c r="E22" s="139" t="s">
        <v>392</v>
      </c>
      <c r="F22" s="138" t="s">
        <v>278</v>
      </c>
      <c r="G22" s="140">
        <v>44697</v>
      </c>
      <c r="H22" s="149">
        <v>45584</v>
      </c>
      <c r="I22" s="151">
        <v>45222</v>
      </c>
      <c r="J22" s="151">
        <v>45618</v>
      </c>
      <c r="K22" s="138" t="s">
        <v>389</v>
      </c>
      <c r="L22" s="143">
        <v>50</v>
      </c>
      <c r="M22" s="94" t="s">
        <v>389</v>
      </c>
      <c r="N22" s="138">
        <v>168</v>
      </c>
      <c r="O22" s="155">
        <v>8400</v>
      </c>
      <c r="P22" s="155">
        <v>238.76</v>
      </c>
      <c r="Q22" s="94" t="s">
        <v>389</v>
      </c>
      <c r="R22" s="145">
        <v>105</v>
      </c>
      <c r="S22" s="137" t="e">
        <v>#REF!</v>
      </c>
      <c r="T22" s="146" t="s">
        <v>389</v>
      </c>
    </row>
    <row r="23" spans="1:20" ht="15.75" customHeight="1">
      <c r="A23" s="136">
        <v>1</v>
      </c>
      <c r="B23" s="138" t="s">
        <v>432</v>
      </c>
      <c r="C23" s="138" t="s">
        <v>433</v>
      </c>
      <c r="D23" s="138" t="s">
        <v>396</v>
      </c>
      <c r="E23" s="139" t="s">
        <v>392</v>
      </c>
      <c r="F23" s="138" t="s">
        <v>278</v>
      </c>
      <c r="G23" s="140">
        <v>44952</v>
      </c>
      <c r="H23" s="149">
        <v>45409</v>
      </c>
      <c r="I23" s="140">
        <v>45222</v>
      </c>
      <c r="J23" s="140">
        <v>45618</v>
      </c>
      <c r="K23" s="138" t="s">
        <v>389</v>
      </c>
      <c r="L23" s="143">
        <v>95</v>
      </c>
      <c r="M23" s="94" t="s">
        <v>389</v>
      </c>
      <c r="N23" s="138" t="s">
        <v>389</v>
      </c>
      <c r="O23" s="144" t="s">
        <v>397</v>
      </c>
      <c r="P23" s="144" t="s">
        <v>411</v>
      </c>
      <c r="Q23" s="94" t="s">
        <v>389</v>
      </c>
      <c r="R23" s="145">
        <v>145.94999999999999</v>
      </c>
      <c r="S23" s="154">
        <v>168</v>
      </c>
      <c r="T23" s="153">
        <v>25754.400000000001</v>
      </c>
    </row>
    <row r="24" spans="1:20" ht="15.75" customHeight="1">
      <c r="A24" s="136" t="s">
        <v>389</v>
      </c>
      <c r="B24" s="138" t="s">
        <v>434</v>
      </c>
      <c r="C24" s="138" t="s">
        <v>433</v>
      </c>
      <c r="D24" s="138" t="s">
        <v>391</v>
      </c>
      <c r="E24" s="139" t="s">
        <v>392</v>
      </c>
      <c r="F24" s="138" t="s">
        <v>278</v>
      </c>
      <c r="G24" s="140">
        <v>44685</v>
      </c>
      <c r="H24" s="149">
        <v>45230</v>
      </c>
      <c r="I24" s="140">
        <v>45222</v>
      </c>
      <c r="J24" s="140">
        <v>45618</v>
      </c>
      <c r="K24" s="138" t="s">
        <v>389</v>
      </c>
      <c r="L24" s="143">
        <v>95</v>
      </c>
      <c r="M24" s="94" t="s">
        <v>389</v>
      </c>
      <c r="N24" s="138" t="s">
        <v>389</v>
      </c>
      <c r="O24" s="144" t="s">
        <v>397</v>
      </c>
      <c r="P24" s="144" t="s">
        <v>389</v>
      </c>
      <c r="Q24" s="94" t="s">
        <v>389</v>
      </c>
      <c r="R24" s="145">
        <v>153.30000000000001</v>
      </c>
      <c r="S24" s="137" t="e">
        <v>#REF!</v>
      </c>
      <c r="T24" s="146" t="s">
        <v>389</v>
      </c>
    </row>
    <row r="25" spans="1:20" ht="15.75" customHeight="1">
      <c r="A25" s="148">
        <v>38</v>
      </c>
      <c r="B25" s="138" t="s">
        <v>435</v>
      </c>
      <c r="C25" s="138" t="s">
        <v>433</v>
      </c>
      <c r="D25" s="138" t="s">
        <v>391</v>
      </c>
      <c r="E25" s="139" t="s">
        <v>392</v>
      </c>
      <c r="F25" s="138" t="s">
        <v>278</v>
      </c>
      <c r="G25" s="140">
        <v>44879</v>
      </c>
      <c r="H25" s="141" t="s">
        <v>389</v>
      </c>
      <c r="I25" s="151">
        <v>45222</v>
      </c>
      <c r="J25" s="151">
        <v>45618</v>
      </c>
      <c r="K25" s="138" t="s">
        <v>389</v>
      </c>
      <c r="L25" s="143">
        <v>100</v>
      </c>
      <c r="M25" s="94" t="s">
        <v>389</v>
      </c>
      <c r="N25" s="144" t="s">
        <v>389</v>
      </c>
      <c r="O25" s="144" t="s">
        <v>389</v>
      </c>
      <c r="P25" s="138">
        <v>168</v>
      </c>
      <c r="Q25" s="155">
        <v>16800</v>
      </c>
      <c r="R25" s="153">
        <v>153.30000000000001</v>
      </c>
      <c r="S25" s="137" t="e">
        <v>#REF!</v>
      </c>
      <c r="T25" s="137" t="s">
        <v>389</v>
      </c>
    </row>
    <row r="26" spans="1:20" ht="15.75" customHeight="1">
      <c r="A26" s="136" t="s">
        <v>389</v>
      </c>
      <c r="B26" s="138" t="s">
        <v>436</v>
      </c>
      <c r="C26" s="138" t="s">
        <v>430</v>
      </c>
      <c r="D26" s="138" t="s">
        <v>396</v>
      </c>
      <c r="E26" s="139" t="s">
        <v>392</v>
      </c>
      <c r="F26" s="138" t="s">
        <v>278</v>
      </c>
      <c r="G26" s="140">
        <v>44767</v>
      </c>
      <c r="H26" s="149">
        <v>45209</v>
      </c>
      <c r="I26" s="140">
        <v>45222</v>
      </c>
      <c r="J26" s="140">
        <v>45618</v>
      </c>
      <c r="K26" s="138" t="s">
        <v>389</v>
      </c>
      <c r="L26" s="143">
        <v>65</v>
      </c>
      <c r="M26" s="94" t="s">
        <v>389</v>
      </c>
      <c r="N26" s="138" t="s">
        <v>389</v>
      </c>
      <c r="O26" s="144" t="s">
        <v>397</v>
      </c>
      <c r="P26" s="144" t="s">
        <v>389</v>
      </c>
      <c r="Q26" s="94" t="s">
        <v>389</v>
      </c>
      <c r="R26" s="145">
        <v>134</v>
      </c>
      <c r="S26" s="137" t="e">
        <v>#REF!</v>
      </c>
      <c r="T26" s="146" t="s">
        <v>389</v>
      </c>
    </row>
    <row r="27" spans="1:20" ht="15.75" customHeight="1">
      <c r="A27" s="148">
        <v>13</v>
      </c>
      <c r="B27" s="138" t="s">
        <v>437</v>
      </c>
      <c r="C27" s="138" t="s">
        <v>438</v>
      </c>
      <c r="D27" s="138" t="s">
        <v>396</v>
      </c>
      <c r="E27" s="139" t="s">
        <v>392</v>
      </c>
      <c r="F27" s="138" t="s">
        <v>402</v>
      </c>
      <c r="G27" s="140">
        <v>45376</v>
      </c>
      <c r="H27" s="149">
        <v>45458</v>
      </c>
      <c r="I27" s="151">
        <v>45370</v>
      </c>
      <c r="J27" s="151">
        <v>45734</v>
      </c>
      <c r="K27" s="138" t="s">
        <v>389</v>
      </c>
      <c r="L27" s="143">
        <v>29.76</v>
      </c>
      <c r="M27" s="94" t="s">
        <v>389</v>
      </c>
      <c r="N27" s="138" t="s">
        <v>389</v>
      </c>
      <c r="O27" s="155">
        <v>15960</v>
      </c>
      <c r="P27" s="144" t="s">
        <v>389</v>
      </c>
      <c r="Q27" s="94" t="s">
        <v>389</v>
      </c>
      <c r="R27" s="145">
        <v>101.19</v>
      </c>
      <c r="S27" s="137" t="e">
        <v>#REF!</v>
      </c>
      <c r="T27" s="146" t="s">
        <v>389</v>
      </c>
    </row>
    <row r="28" spans="1:20" ht="15.75" customHeight="1">
      <c r="A28" s="136" t="s">
        <v>389</v>
      </c>
      <c r="B28" s="138" t="s">
        <v>439</v>
      </c>
      <c r="C28" s="138" t="s">
        <v>440</v>
      </c>
      <c r="D28" s="138" t="s">
        <v>431</v>
      </c>
      <c r="E28" s="139" t="s">
        <v>392</v>
      </c>
      <c r="F28" s="138" t="s">
        <v>278</v>
      </c>
      <c r="G28" s="140">
        <v>44683</v>
      </c>
      <c r="H28" s="149">
        <v>45229</v>
      </c>
      <c r="I28" s="140">
        <v>45222</v>
      </c>
      <c r="J28" s="140">
        <v>45618</v>
      </c>
      <c r="K28" s="138" t="s">
        <v>389</v>
      </c>
      <c r="L28" s="143">
        <v>35</v>
      </c>
      <c r="M28" s="94" t="s">
        <v>389</v>
      </c>
      <c r="N28" s="138" t="s">
        <v>389</v>
      </c>
      <c r="O28" s="144" t="s">
        <v>397</v>
      </c>
      <c r="P28" s="144" t="s">
        <v>389</v>
      </c>
      <c r="Q28" s="94" t="s">
        <v>389</v>
      </c>
      <c r="R28" s="145">
        <v>100</v>
      </c>
      <c r="S28" s="137" t="e">
        <v>#REF!</v>
      </c>
      <c r="T28" s="138" t="s">
        <v>389</v>
      </c>
    </row>
    <row r="29" spans="1:20" ht="15.75" customHeight="1">
      <c r="A29" s="148">
        <v>5</v>
      </c>
      <c r="B29" s="138" t="s">
        <v>441</v>
      </c>
      <c r="C29" s="138" t="s">
        <v>164</v>
      </c>
      <c r="D29" s="138" t="s">
        <v>391</v>
      </c>
      <c r="E29" s="139" t="s">
        <v>392</v>
      </c>
      <c r="F29" s="138" t="s">
        <v>278</v>
      </c>
      <c r="G29" s="140">
        <v>44676</v>
      </c>
      <c r="H29" s="149">
        <v>45514</v>
      </c>
      <c r="I29" s="151">
        <v>45222</v>
      </c>
      <c r="J29" s="151">
        <v>45618</v>
      </c>
      <c r="K29" s="138" t="s">
        <v>389</v>
      </c>
      <c r="L29" s="143">
        <v>105</v>
      </c>
      <c r="M29" s="94" t="s">
        <v>389</v>
      </c>
      <c r="N29" s="138">
        <v>168</v>
      </c>
      <c r="O29" s="155">
        <v>17640</v>
      </c>
      <c r="P29" s="155">
        <v>393.24</v>
      </c>
      <c r="Q29" s="94" t="s">
        <v>389</v>
      </c>
      <c r="R29" s="145">
        <v>137.55000000000001</v>
      </c>
      <c r="S29" s="137" t="e">
        <v>#REF!</v>
      </c>
      <c r="T29" s="146" t="s">
        <v>389</v>
      </c>
    </row>
    <row r="30" spans="1:20" ht="15.75" customHeight="1">
      <c r="A30" s="148">
        <v>2</v>
      </c>
      <c r="B30" s="137" t="s">
        <v>442</v>
      </c>
      <c r="C30" s="138" t="s">
        <v>164</v>
      </c>
      <c r="D30" s="138" t="s">
        <v>396</v>
      </c>
      <c r="E30" s="139" t="s">
        <v>392</v>
      </c>
      <c r="F30" s="138" t="s">
        <v>278</v>
      </c>
      <c r="G30" s="140">
        <v>44851</v>
      </c>
      <c r="H30" s="142">
        <v>45566</v>
      </c>
      <c r="I30" s="151">
        <v>45222</v>
      </c>
      <c r="J30" s="151">
        <v>45618</v>
      </c>
      <c r="K30" s="138" t="s">
        <v>389</v>
      </c>
      <c r="L30" s="143">
        <v>85</v>
      </c>
      <c r="M30" s="94" t="s">
        <v>389</v>
      </c>
      <c r="N30" s="138">
        <v>168</v>
      </c>
      <c r="O30" s="155">
        <v>14280</v>
      </c>
      <c r="P30" s="155">
        <v>256.92</v>
      </c>
      <c r="Q30" s="94" t="s">
        <v>389</v>
      </c>
      <c r="R30" s="145">
        <v>129.15</v>
      </c>
      <c r="S30" s="137" t="e">
        <v>#REF!</v>
      </c>
      <c r="T30" s="146" t="s">
        <v>389</v>
      </c>
    </row>
    <row r="31" spans="1:20" ht="15.75" customHeight="1">
      <c r="A31" s="136">
        <v>1</v>
      </c>
      <c r="B31" s="138" t="s">
        <v>443</v>
      </c>
      <c r="C31" s="138" t="s">
        <v>444</v>
      </c>
      <c r="D31" s="138" t="s">
        <v>396</v>
      </c>
      <c r="E31" s="139" t="s">
        <v>392</v>
      </c>
      <c r="F31" s="138" t="s">
        <v>402</v>
      </c>
      <c r="G31" s="140">
        <v>45082</v>
      </c>
      <c r="H31" s="149">
        <v>45390</v>
      </c>
      <c r="I31" s="140">
        <v>45222</v>
      </c>
      <c r="J31" s="140">
        <v>45618</v>
      </c>
      <c r="K31" s="138" t="s">
        <v>389</v>
      </c>
      <c r="L31" s="143">
        <v>50</v>
      </c>
      <c r="M31" s="94" t="s">
        <v>389</v>
      </c>
      <c r="N31" s="138" t="s">
        <v>389</v>
      </c>
      <c r="O31" s="144" t="s">
        <v>397</v>
      </c>
      <c r="P31" s="144" t="s">
        <v>389</v>
      </c>
      <c r="Q31" s="94" t="s">
        <v>389</v>
      </c>
      <c r="R31" s="145">
        <v>113.1</v>
      </c>
      <c r="S31" s="137" t="e">
        <v>#REF!</v>
      </c>
      <c r="T31" s="146" t="s">
        <v>389</v>
      </c>
    </row>
    <row r="32" spans="1:20" ht="15.75" customHeight="1">
      <c r="A32" s="136" t="s">
        <v>389</v>
      </c>
      <c r="B32" s="138" t="s">
        <v>445</v>
      </c>
      <c r="C32" s="138" t="s">
        <v>446</v>
      </c>
      <c r="D32" s="138" t="s">
        <v>447</v>
      </c>
      <c r="E32" s="139" t="s">
        <v>392</v>
      </c>
      <c r="F32" s="138" t="s">
        <v>278</v>
      </c>
      <c r="G32" s="140">
        <v>45090</v>
      </c>
      <c r="H32" s="149">
        <v>45222</v>
      </c>
      <c r="I32" s="140">
        <v>45222</v>
      </c>
      <c r="J32" s="140">
        <v>45618</v>
      </c>
      <c r="K32" s="138" t="s">
        <v>389</v>
      </c>
      <c r="L32" s="143">
        <v>90</v>
      </c>
      <c r="M32" s="94" t="s">
        <v>389</v>
      </c>
      <c r="N32" s="138" t="s">
        <v>389</v>
      </c>
      <c r="O32" s="144" t="s">
        <v>397</v>
      </c>
      <c r="P32" s="144" t="s">
        <v>389</v>
      </c>
      <c r="Q32" s="94" t="s">
        <v>389</v>
      </c>
      <c r="R32" s="145">
        <v>154</v>
      </c>
      <c r="S32" s="137" t="e">
        <v>#REF!</v>
      </c>
      <c r="T32" s="146" t="s">
        <v>389</v>
      </c>
    </row>
    <row r="33" spans="1:20" ht="15.75" customHeight="1">
      <c r="A33" s="148">
        <v>12</v>
      </c>
      <c r="B33" s="138" t="s">
        <v>448</v>
      </c>
      <c r="C33" s="138" t="s">
        <v>449</v>
      </c>
      <c r="D33" s="138" t="s">
        <v>396</v>
      </c>
      <c r="E33" s="139" t="s">
        <v>392</v>
      </c>
      <c r="F33" s="138" t="s">
        <v>402</v>
      </c>
      <c r="G33" s="140">
        <v>45387</v>
      </c>
      <c r="H33" s="139" t="s">
        <v>450</v>
      </c>
      <c r="I33" s="151">
        <v>45372</v>
      </c>
      <c r="J33" s="151">
        <v>45736</v>
      </c>
      <c r="K33" s="138" t="s">
        <v>389</v>
      </c>
      <c r="L33" s="143">
        <v>71.430000000000007</v>
      </c>
      <c r="M33" s="94" t="s">
        <v>389</v>
      </c>
      <c r="N33" s="138" t="s">
        <v>389</v>
      </c>
      <c r="O33" s="155">
        <v>15960</v>
      </c>
      <c r="P33" s="144" t="s">
        <v>389</v>
      </c>
      <c r="Q33" s="94" t="s">
        <v>389</v>
      </c>
      <c r="R33" s="145">
        <v>137.55000000000001</v>
      </c>
      <c r="S33" s="137" t="e">
        <v>#REF!</v>
      </c>
      <c r="T33" s="146" t="s">
        <v>389</v>
      </c>
    </row>
    <row r="34" spans="1:20" ht="15.75" customHeight="1">
      <c r="A34" s="136" t="s">
        <v>389</v>
      </c>
      <c r="B34" s="138" t="s">
        <v>451</v>
      </c>
      <c r="C34" s="138" t="s">
        <v>430</v>
      </c>
      <c r="D34" s="138" t="s">
        <v>396</v>
      </c>
      <c r="E34" s="139" t="s">
        <v>392</v>
      </c>
      <c r="F34" s="138" t="s">
        <v>278</v>
      </c>
      <c r="G34" s="140">
        <v>44487</v>
      </c>
      <c r="H34" s="149">
        <v>45230</v>
      </c>
      <c r="I34" s="140">
        <v>45222</v>
      </c>
      <c r="J34" s="140">
        <v>45618</v>
      </c>
      <c r="K34" s="138" t="s">
        <v>389</v>
      </c>
      <c r="L34" s="143">
        <v>80</v>
      </c>
      <c r="M34" s="94" t="s">
        <v>389</v>
      </c>
      <c r="N34" s="138" t="s">
        <v>389</v>
      </c>
      <c r="O34" s="144" t="s">
        <v>397</v>
      </c>
      <c r="P34" s="144" t="s">
        <v>389</v>
      </c>
      <c r="Q34" s="94" t="s">
        <v>389</v>
      </c>
      <c r="R34" s="145">
        <v>134</v>
      </c>
      <c r="S34" s="137" t="s">
        <v>389</v>
      </c>
      <c r="T34" s="146" t="s">
        <v>389</v>
      </c>
    </row>
    <row r="35" spans="1:20" ht="15.75" customHeight="1">
      <c r="A35" s="136">
        <v>11</v>
      </c>
      <c r="B35" s="138" t="s">
        <v>452</v>
      </c>
      <c r="C35" s="138" t="s">
        <v>421</v>
      </c>
      <c r="D35" s="138" t="s">
        <v>391</v>
      </c>
      <c r="E35" s="139" t="s">
        <v>392</v>
      </c>
      <c r="F35" s="138" t="s">
        <v>402</v>
      </c>
      <c r="G35" s="140">
        <v>45369</v>
      </c>
      <c r="H35" s="142">
        <v>45506</v>
      </c>
      <c r="I35" s="151">
        <v>45372</v>
      </c>
      <c r="J35" s="151">
        <v>45736</v>
      </c>
      <c r="K35" s="138" t="s">
        <v>389</v>
      </c>
      <c r="L35" s="143">
        <v>95.24</v>
      </c>
      <c r="M35" s="94" t="s">
        <v>389</v>
      </c>
      <c r="N35" s="138" t="s">
        <v>389</v>
      </c>
      <c r="O35" s="155">
        <v>15960</v>
      </c>
      <c r="P35" s="144" t="s">
        <v>389</v>
      </c>
      <c r="Q35" s="94" t="s">
        <v>389</v>
      </c>
      <c r="R35" s="145">
        <v>170.1</v>
      </c>
      <c r="S35" s="137" t="e">
        <v>#REF!</v>
      </c>
      <c r="T35" s="146" t="s">
        <v>389</v>
      </c>
    </row>
    <row r="36" spans="1:20" ht="15.75" customHeight="1">
      <c r="A36" s="136" t="s">
        <v>389</v>
      </c>
      <c r="B36" s="138" t="s">
        <v>453</v>
      </c>
      <c r="C36" s="138" t="s">
        <v>454</v>
      </c>
      <c r="D36" s="138" t="s">
        <v>396</v>
      </c>
      <c r="E36" s="139" t="s">
        <v>392</v>
      </c>
      <c r="F36" s="138" t="s">
        <v>402</v>
      </c>
      <c r="G36" s="140">
        <v>45469</v>
      </c>
      <c r="H36" s="149">
        <v>45484</v>
      </c>
      <c r="I36" s="138" t="s">
        <v>389</v>
      </c>
      <c r="J36" s="138" t="s">
        <v>389</v>
      </c>
      <c r="K36" s="138" t="s">
        <v>389</v>
      </c>
      <c r="L36" s="143">
        <v>33.93</v>
      </c>
      <c r="M36" s="94" t="s">
        <v>389</v>
      </c>
      <c r="N36" s="138" t="s">
        <v>389</v>
      </c>
      <c r="O36" s="144" t="s">
        <v>389</v>
      </c>
      <c r="P36" s="144" t="s">
        <v>389</v>
      </c>
      <c r="Q36" s="94" t="s">
        <v>389</v>
      </c>
      <c r="R36" s="145">
        <v>101.1</v>
      </c>
      <c r="S36" s="137" t="e">
        <v>#REF!</v>
      </c>
      <c r="T36" s="138" t="s">
        <v>389</v>
      </c>
    </row>
    <row r="37" spans="1:20" ht="15.75" customHeight="1">
      <c r="A37" s="136" t="s">
        <v>389</v>
      </c>
      <c r="B37" s="138" t="s">
        <v>455</v>
      </c>
      <c r="C37" s="138" t="s">
        <v>430</v>
      </c>
      <c r="D37" s="138" t="s">
        <v>391</v>
      </c>
      <c r="E37" s="139" t="s">
        <v>392</v>
      </c>
      <c r="F37" s="138" t="s">
        <v>278</v>
      </c>
      <c r="G37" s="140">
        <v>44636</v>
      </c>
      <c r="H37" s="149">
        <v>45230</v>
      </c>
      <c r="I37" s="140">
        <v>45222</v>
      </c>
      <c r="J37" s="140">
        <v>45618</v>
      </c>
      <c r="K37" s="138" t="s">
        <v>389</v>
      </c>
      <c r="L37" s="143">
        <v>90</v>
      </c>
      <c r="M37" s="94" t="s">
        <v>389</v>
      </c>
      <c r="N37" s="138" t="s">
        <v>389</v>
      </c>
      <c r="O37" s="144" t="s">
        <v>397</v>
      </c>
      <c r="P37" s="144" t="s">
        <v>389</v>
      </c>
      <c r="Q37" s="94" t="s">
        <v>389</v>
      </c>
      <c r="R37" s="145">
        <v>148.05000000000001</v>
      </c>
      <c r="S37" s="137" t="e">
        <v>#REF!</v>
      </c>
      <c r="T37" s="146" t="s">
        <v>389</v>
      </c>
    </row>
    <row r="38" spans="1:20" ht="15.75" customHeight="1">
      <c r="A38" s="148" t="s">
        <v>389</v>
      </c>
      <c r="B38" s="138" t="s">
        <v>456</v>
      </c>
      <c r="C38" s="138" t="s">
        <v>457</v>
      </c>
      <c r="D38" s="138" t="s">
        <v>391</v>
      </c>
      <c r="E38" s="139" t="s">
        <v>392</v>
      </c>
      <c r="F38" s="138" t="s">
        <v>402</v>
      </c>
      <c r="G38" s="140">
        <v>45525</v>
      </c>
      <c r="H38" s="139" t="s">
        <v>389</v>
      </c>
      <c r="I38" s="150" t="s">
        <v>389</v>
      </c>
      <c r="J38" s="150" t="s">
        <v>389</v>
      </c>
      <c r="K38" s="138" t="s">
        <v>389</v>
      </c>
      <c r="L38" s="143">
        <v>76.19</v>
      </c>
      <c r="M38" s="94" t="s">
        <v>389</v>
      </c>
      <c r="N38" s="138">
        <v>168</v>
      </c>
      <c r="O38" s="155">
        <v>12800</v>
      </c>
      <c r="P38" s="144" t="s">
        <v>389</v>
      </c>
      <c r="Q38" s="94" t="s">
        <v>389</v>
      </c>
      <c r="R38" s="145">
        <v>148.05000000000001</v>
      </c>
      <c r="S38" s="137" t="e">
        <v>#REF!</v>
      </c>
      <c r="T38" s="146" t="s">
        <v>389</v>
      </c>
    </row>
    <row r="39" spans="1:20" ht="15.75" customHeight="1">
      <c r="A39" s="148">
        <v>17</v>
      </c>
      <c r="B39" s="138" t="s">
        <v>458</v>
      </c>
      <c r="C39" s="138" t="s">
        <v>459</v>
      </c>
      <c r="D39" s="138" t="s">
        <v>391</v>
      </c>
      <c r="E39" s="139" t="s">
        <v>392</v>
      </c>
      <c r="F39" s="138" t="s">
        <v>402</v>
      </c>
      <c r="G39" s="140">
        <v>45449</v>
      </c>
      <c r="H39" s="149">
        <v>45496</v>
      </c>
      <c r="I39" s="151">
        <v>45454</v>
      </c>
      <c r="J39" s="151">
        <v>45818</v>
      </c>
      <c r="K39" s="138" t="s">
        <v>389</v>
      </c>
      <c r="L39" s="143">
        <v>47.62</v>
      </c>
      <c r="M39" s="94" t="s">
        <v>389</v>
      </c>
      <c r="N39" s="138" t="s">
        <v>389</v>
      </c>
      <c r="O39" s="144" t="s">
        <v>397</v>
      </c>
      <c r="P39" s="144" t="s">
        <v>389</v>
      </c>
      <c r="Q39" s="94" t="s">
        <v>389</v>
      </c>
      <c r="R39" s="145">
        <v>113.1</v>
      </c>
      <c r="S39" s="137" t="e">
        <v>#REF!</v>
      </c>
      <c r="T39" s="146" t="s">
        <v>389</v>
      </c>
    </row>
    <row r="40" spans="1:20" ht="15.75" customHeight="1">
      <c r="A40" s="148">
        <v>5</v>
      </c>
      <c r="B40" s="138" t="s">
        <v>460</v>
      </c>
      <c r="C40" s="138" t="s">
        <v>461</v>
      </c>
      <c r="D40" s="138" t="s">
        <v>391</v>
      </c>
      <c r="E40" s="139" t="s">
        <v>392</v>
      </c>
      <c r="F40" s="138" t="s">
        <v>278</v>
      </c>
      <c r="G40" s="140">
        <v>44872</v>
      </c>
      <c r="H40" s="149">
        <v>45510</v>
      </c>
      <c r="I40" s="151">
        <v>45222</v>
      </c>
      <c r="J40" s="151">
        <v>45618</v>
      </c>
      <c r="K40" s="138" t="s">
        <v>389</v>
      </c>
      <c r="L40" s="143">
        <v>95</v>
      </c>
      <c r="M40" s="94" t="s">
        <v>389</v>
      </c>
      <c r="N40" s="138" t="s">
        <v>389</v>
      </c>
      <c r="O40" s="144" t="s">
        <v>397</v>
      </c>
      <c r="P40" s="155">
        <v>380</v>
      </c>
      <c r="Q40" s="94" t="s">
        <v>389</v>
      </c>
      <c r="R40" s="145">
        <v>153.30000000000001</v>
      </c>
      <c r="S40" s="137" t="e">
        <v>#REF!</v>
      </c>
      <c r="T40" s="138" t="s">
        <v>389</v>
      </c>
    </row>
    <row r="41" spans="1:20" ht="15.75" customHeight="1">
      <c r="A41" s="136">
        <v>1</v>
      </c>
      <c r="B41" s="138" t="s">
        <v>462</v>
      </c>
      <c r="C41" s="138" t="s">
        <v>408</v>
      </c>
      <c r="D41" s="138" t="s">
        <v>431</v>
      </c>
      <c r="E41" s="139" t="s">
        <v>392</v>
      </c>
      <c r="F41" s="138" t="s">
        <v>278</v>
      </c>
      <c r="G41" s="140">
        <v>45075</v>
      </c>
      <c r="H41" s="149">
        <v>45323</v>
      </c>
      <c r="I41" s="140">
        <v>45222</v>
      </c>
      <c r="J41" s="140">
        <v>45618</v>
      </c>
      <c r="K41" s="138" t="s">
        <v>389</v>
      </c>
      <c r="L41" s="143">
        <v>50.6</v>
      </c>
      <c r="M41" s="94" t="s">
        <v>389</v>
      </c>
      <c r="N41" s="138" t="s">
        <v>389</v>
      </c>
      <c r="O41" s="144" t="s">
        <v>397</v>
      </c>
      <c r="P41" s="155">
        <v>164.16</v>
      </c>
      <c r="Q41" s="94" t="s">
        <v>389</v>
      </c>
      <c r="R41" s="145">
        <v>83.33</v>
      </c>
      <c r="S41" s="137" t="e">
        <v>#REF!</v>
      </c>
      <c r="T41" s="146" t="s">
        <v>389</v>
      </c>
    </row>
    <row r="42" spans="1:20" ht="15.75" customHeight="1">
      <c r="A42" s="148">
        <v>9</v>
      </c>
      <c r="B42" s="138" t="s">
        <v>463</v>
      </c>
      <c r="C42" s="138" t="s">
        <v>464</v>
      </c>
      <c r="D42" s="138" t="s">
        <v>391</v>
      </c>
      <c r="E42" s="139" t="s">
        <v>392</v>
      </c>
      <c r="F42" s="138" t="s">
        <v>402</v>
      </c>
      <c r="G42" s="140">
        <v>45327</v>
      </c>
      <c r="H42" s="149">
        <v>45553</v>
      </c>
      <c r="I42" s="151">
        <v>45288</v>
      </c>
      <c r="J42" s="151">
        <v>45653</v>
      </c>
      <c r="K42" s="138" t="s">
        <v>389</v>
      </c>
      <c r="L42" s="143">
        <v>98.09</v>
      </c>
      <c r="M42" s="94" t="s">
        <v>389</v>
      </c>
      <c r="N42" s="138">
        <v>168</v>
      </c>
      <c r="O42" s="155">
        <v>16479.12</v>
      </c>
      <c r="P42" s="144" t="s">
        <v>389</v>
      </c>
      <c r="Q42" s="94" t="s">
        <v>389</v>
      </c>
      <c r="R42" s="145">
        <v>144.9</v>
      </c>
      <c r="S42" s="137" t="e">
        <v>#REF!</v>
      </c>
      <c r="T42" s="146" t="s">
        <v>389</v>
      </c>
    </row>
    <row r="43" spans="1:20" ht="15.75" customHeight="1">
      <c r="A43" s="136">
        <v>1</v>
      </c>
      <c r="B43" s="138" t="s">
        <v>465</v>
      </c>
      <c r="C43" s="138" t="s">
        <v>466</v>
      </c>
      <c r="D43" s="138" t="s">
        <v>431</v>
      </c>
      <c r="E43" s="139" t="s">
        <v>392</v>
      </c>
      <c r="F43" s="138" t="s">
        <v>278</v>
      </c>
      <c r="G43" s="140">
        <v>45068</v>
      </c>
      <c r="H43" s="149">
        <v>45260</v>
      </c>
      <c r="I43" s="140">
        <v>45222</v>
      </c>
      <c r="J43" s="140">
        <v>45618</v>
      </c>
      <c r="K43" s="138" t="s">
        <v>389</v>
      </c>
      <c r="L43" s="143">
        <v>42</v>
      </c>
      <c r="M43" s="94" t="s">
        <v>389</v>
      </c>
      <c r="N43" s="138" t="s">
        <v>389</v>
      </c>
      <c r="O43" s="144" t="s">
        <v>397</v>
      </c>
      <c r="P43" s="155">
        <v>231.73</v>
      </c>
      <c r="Q43" s="94" t="s">
        <v>389</v>
      </c>
      <c r="R43" s="145">
        <v>75</v>
      </c>
      <c r="S43" s="137" t="e">
        <v>#REF!</v>
      </c>
      <c r="T43" s="146" t="s">
        <v>389</v>
      </c>
    </row>
    <row r="44" spans="1:20" ht="15.75" customHeight="1">
      <c r="A44" s="148">
        <v>3</v>
      </c>
      <c r="B44" s="137" t="s">
        <v>212</v>
      </c>
      <c r="C44" s="138" t="s">
        <v>430</v>
      </c>
      <c r="D44" s="138" t="s">
        <v>396</v>
      </c>
      <c r="E44" s="139" t="s">
        <v>392</v>
      </c>
      <c r="F44" s="138" t="s">
        <v>278</v>
      </c>
      <c r="G44" s="140">
        <v>44851</v>
      </c>
      <c r="H44" s="142">
        <v>45506</v>
      </c>
      <c r="I44" s="151">
        <v>45222</v>
      </c>
      <c r="J44" s="151">
        <v>45618</v>
      </c>
      <c r="K44" s="138" t="s">
        <v>389</v>
      </c>
      <c r="L44" s="143">
        <v>80</v>
      </c>
      <c r="M44" s="94" t="s">
        <v>389</v>
      </c>
      <c r="N44" s="138" t="s">
        <v>389</v>
      </c>
      <c r="O44" s="144" t="s">
        <v>397</v>
      </c>
      <c r="P44" s="155">
        <v>164.16</v>
      </c>
      <c r="Q44" s="94" t="s">
        <v>389</v>
      </c>
      <c r="R44" s="145">
        <v>134.4</v>
      </c>
      <c r="S44" s="137" t="e">
        <v>#REF!</v>
      </c>
      <c r="T44" s="146" t="s">
        <v>389</v>
      </c>
    </row>
    <row r="45" spans="1:20" ht="15.75" customHeight="1">
      <c r="A45" s="136" t="s">
        <v>389</v>
      </c>
      <c r="B45" s="138" t="s">
        <v>467</v>
      </c>
      <c r="C45" s="138" t="s">
        <v>433</v>
      </c>
      <c r="D45" s="138" t="s">
        <v>396</v>
      </c>
      <c r="E45" s="139" t="s">
        <v>392</v>
      </c>
      <c r="F45" s="138" t="s">
        <v>278</v>
      </c>
      <c r="G45" s="140">
        <v>44952</v>
      </c>
      <c r="H45" s="149">
        <v>45230</v>
      </c>
      <c r="I45" s="140">
        <v>45222</v>
      </c>
      <c r="J45" s="140">
        <v>45618</v>
      </c>
      <c r="K45" s="138" t="s">
        <v>389</v>
      </c>
      <c r="L45" s="143">
        <v>60</v>
      </c>
      <c r="M45" s="94" t="s">
        <v>389</v>
      </c>
      <c r="N45" s="138" t="s">
        <v>389</v>
      </c>
      <c r="O45" s="144" t="s">
        <v>397</v>
      </c>
      <c r="P45" s="144" t="s">
        <v>411</v>
      </c>
      <c r="Q45" s="94" t="s">
        <v>389</v>
      </c>
      <c r="R45" s="145">
        <v>145.94</v>
      </c>
      <c r="S45" s="137" t="e">
        <v>#REF!</v>
      </c>
      <c r="T45" s="138" t="s">
        <v>389</v>
      </c>
    </row>
    <row r="46" spans="1:20" ht="15.75" customHeight="1">
      <c r="A46" s="136" t="s">
        <v>389</v>
      </c>
      <c r="B46" s="138" t="s">
        <v>468</v>
      </c>
      <c r="C46" s="138" t="s">
        <v>430</v>
      </c>
      <c r="D46" s="138" t="s">
        <v>431</v>
      </c>
      <c r="E46" s="139" t="s">
        <v>392</v>
      </c>
      <c r="F46" s="138" t="s">
        <v>278</v>
      </c>
      <c r="G46" s="140">
        <v>44746</v>
      </c>
      <c r="H46" s="149">
        <v>45230</v>
      </c>
      <c r="I46" s="140">
        <v>45222</v>
      </c>
      <c r="J46" s="140">
        <v>45618</v>
      </c>
      <c r="K46" s="138" t="s">
        <v>389</v>
      </c>
      <c r="L46" s="143">
        <v>40</v>
      </c>
      <c r="M46" s="94" t="s">
        <v>389</v>
      </c>
      <c r="N46" s="138" t="s">
        <v>389</v>
      </c>
      <c r="O46" s="144" t="s">
        <v>397</v>
      </c>
      <c r="P46" s="144" t="s">
        <v>389</v>
      </c>
      <c r="Q46" s="94" t="s">
        <v>389</v>
      </c>
      <c r="R46" s="145">
        <v>105</v>
      </c>
      <c r="S46" s="137" t="e">
        <v>#REF!</v>
      </c>
      <c r="T46" s="137" t="s">
        <v>389</v>
      </c>
    </row>
    <row r="47" spans="1:20" ht="15.75" customHeight="1">
      <c r="A47" s="148">
        <v>5</v>
      </c>
      <c r="B47" s="138" t="s">
        <v>469</v>
      </c>
      <c r="C47" s="138" t="s">
        <v>470</v>
      </c>
      <c r="D47" s="138" t="s">
        <v>396</v>
      </c>
      <c r="E47" s="139" t="s">
        <v>392</v>
      </c>
      <c r="F47" s="138" t="s">
        <v>278</v>
      </c>
      <c r="G47" s="140">
        <v>44777</v>
      </c>
      <c r="H47" s="149">
        <v>45588</v>
      </c>
      <c r="I47" s="151">
        <v>45222</v>
      </c>
      <c r="J47" s="151">
        <v>45618</v>
      </c>
      <c r="K47" s="138" t="s">
        <v>389</v>
      </c>
      <c r="L47" s="143">
        <v>85</v>
      </c>
      <c r="M47" s="94" t="s">
        <v>389</v>
      </c>
      <c r="N47" s="144" t="s">
        <v>389</v>
      </c>
      <c r="O47" s="144" t="s">
        <v>389</v>
      </c>
      <c r="P47" s="138" t="s">
        <v>389</v>
      </c>
      <c r="Q47" s="94" t="s">
        <v>389</v>
      </c>
      <c r="R47" s="145">
        <v>137.55000000000001</v>
      </c>
      <c r="S47" s="154">
        <v>168</v>
      </c>
      <c r="T47" s="153">
        <v>27342</v>
      </c>
    </row>
    <row r="48" spans="1:20" ht="15.75" customHeight="1">
      <c r="A48" s="136">
        <v>1</v>
      </c>
      <c r="B48" s="138" t="s">
        <v>471</v>
      </c>
      <c r="C48" s="138" t="s">
        <v>444</v>
      </c>
      <c r="D48" s="138" t="s">
        <v>396</v>
      </c>
      <c r="E48" s="139" t="s">
        <v>392</v>
      </c>
      <c r="F48" s="138" t="s">
        <v>402</v>
      </c>
      <c r="G48" s="140">
        <v>45140</v>
      </c>
      <c r="H48" s="149">
        <v>45326</v>
      </c>
      <c r="I48" s="140">
        <v>45222</v>
      </c>
      <c r="J48" s="140">
        <v>45618</v>
      </c>
      <c r="K48" s="138" t="s">
        <v>389</v>
      </c>
      <c r="L48" s="143">
        <v>50</v>
      </c>
      <c r="M48" s="94" t="s">
        <v>389</v>
      </c>
      <c r="N48" s="138" t="s">
        <v>389</v>
      </c>
      <c r="O48" s="144" t="s">
        <v>397</v>
      </c>
      <c r="P48" s="155">
        <v>240</v>
      </c>
      <c r="Q48" s="94" t="s">
        <v>389</v>
      </c>
      <c r="R48" s="155">
        <v>113.1</v>
      </c>
      <c r="S48" s="154">
        <v>168</v>
      </c>
      <c r="T48" s="153">
        <v>17640</v>
      </c>
    </row>
    <row r="49" spans="1:20" ht="15.75" customHeight="1">
      <c r="A49" s="148">
        <v>3</v>
      </c>
      <c r="B49" s="138" t="s">
        <v>472</v>
      </c>
      <c r="C49" s="138" t="s">
        <v>430</v>
      </c>
      <c r="D49" s="138" t="s">
        <v>401</v>
      </c>
      <c r="E49" s="139" t="s">
        <v>392</v>
      </c>
      <c r="F49" s="138" t="s">
        <v>278</v>
      </c>
      <c r="G49" s="140">
        <v>44655</v>
      </c>
      <c r="H49" s="149">
        <v>45635</v>
      </c>
      <c r="I49" s="151">
        <v>45222</v>
      </c>
      <c r="J49" s="151">
        <v>45618</v>
      </c>
      <c r="K49" s="138" t="s">
        <v>389</v>
      </c>
      <c r="L49" s="143">
        <v>109</v>
      </c>
      <c r="M49" s="94" t="s">
        <v>389</v>
      </c>
      <c r="N49" s="144" t="s">
        <v>389</v>
      </c>
      <c r="O49" s="138">
        <v>168</v>
      </c>
      <c r="P49" s="94" t="s">
        <v>389</v>
      </c>
      <c r="Q49" s="155">
        <v>18312</v>
      </c>
      <c r="R49" s="153">
        <v>162.75</v>
      </c>
      <c r="S49" s="154">
        <v>168</v>
      </c>
      <c r="T49" s="153">
        <v>21697.200000000001</v>
      </c>
    </row>
    <row r="50" spans="1:20" ht="15.75" customHeight="1">
      <c r="A50" s="148">
        <v>3</v>
      </c>
      <c r="B50" s="138" t="s">
        <v>473</v>
      </c>
      <c r="C50" s="138" t="s">
        <v>474</v>
      </c>
      <c r="D50" s="138" t="s">
        <v>431</v>
      </c>
      <c r="E50" s="139" t="s">
        <v>392</v>
      </c>
      <c r="F50" s="138" t="s">
        <v>278</v>
      </c>
      <c r="G50" s="140">
        <v>44866</v>
      </c>
      <c r="H50" s="142">
        <v>45635</v>
      </c>
      <c r="I50" s="151">
        <v>45222</v>
      </c>
      <c r="J50" s="151">
        <v>45618</v>
      </c>
      <c r="K50" s="138" t="s">
        <v>389</v>
      </c>
      <c r="L50" s="143">
        <v>36</v>
      </c>
      <c r="M50" s="94" t="s">
        <v>389</v>
      </c>
      <c r="N50" s="144" t="s">
        <v>389</v>
      </c>
      <c r="O50" s="138">
        <v>168</v>
      </c>
      <c r="P50" s="94" t="s">
        <v>389</v>
      </c>
      <c r="Q50" s="155">
        <v>6048</v>
      </c>
      <c r="R50" s="153">
        <v>105</v>
      </c>
      <c r="S50" s="154">
        <v>168</v>
      </c>
      <c r="T50" s="153">
        <v>21504</v>
      </c>
    </row>
    <row r="51" spans="1:20" ht="15.75" customHeight="1">
      <c r="A51" s="148">
        <v>5</v>
      </c>
      <c r="B51" s="150" t="s">
        <v>475</v>
      </c>
      <c r="C51" s="138" t="s">
        <v>476</v>
      </c>
      <c r="D51" s="138" t="s">
        <v>396</v>
      </c>
      <c r="E51" s="139" t="s">
        <v>392</v>
      </c>
      <c r="F51" s="138" t="s">
        <v>278</v>
      </c>
      <c r="G51" s="140">
        <v>44753</v>
      </c>
      <c r="H51" s="149">
        <v>45635</v>
      </c>
      <c r="I51" s="151">
        <v>45222</v>
      </c>
      <c r="J51" s="151">
        <v>45618</v>
      </c>
      <c r="K51" s="138" t="s">
        <v>389</v>
      </c>
      <c r="L51" s="143">
        <v>85</v>
      </c>
      <c r="M51" s="94" t="s">
        <v>389</v>
      </c>
      <c r="N51" s="144" t="s">
        <v>389</v>
      </c>
      <c r="O51" s="138">
        <v>168</v>
      </c>
      <c r="P51" s="94" t="s">
        <v>389</v>
      </c>
      <c r="Q51" s="155">
        <v>14280</v>
      </c>
      <c r="R51" s="153">
        <v>129.15</v>
      </c>
      <c r="S51" s="154">
        <v>168</v>
      </c>
      <c r="T51" s="153">
        <v>25754.400000000001</v>
      </c>
    </row>
    <row r="52" spans="1:20" ht="15.75" customHeight="1">
      <c r="A52" s="148">
        <v>1</v>
      </c>
      <c r="B52" s="138" t="s">
        <v>477</v>
      </c>
      <c r="C52" s="138" t="s">
        <v>444</v>
      </c>
      <c r="D52" s="138" t="s">
        <v>396</v>
      </c>
      <c r="E52" s="139" t="s">
        <v>392</v>
      </c>
      <c r="F52" s="138" t="s">
        <v>402</v>
      </c>
      <c r="G52" s="140">
        <v>45082</v>
      </c>
      <c r="H52" s="149">
        <v>45631</v>
      </c>
      <c r="I52" s="151">
        <v>45222</v>
      </c>
      <c r="J52" s="151">
        <v>45618</v>
      </c>
      <c r="K52" s="138" t="s">
        <v>389</v>
      </c>
      <c r="L52" s="143">
        <v>50</v>
      </c>
      <c r="M52" s="155">
        <v>2649.04</v>
      </c>
      <c r="N52" s="155">
        <v>5811.82</v>
      </c>
      <c r="O52" s="138">
        <v>168</v>
      </c>
      <c r="P52" s="94" t="s">
        <v>389</v>
      </c>
      <c r="Q52" s="155">
        <v>8400</v>
      </c>
      <c r="R52" s="153">
        <v>128</v>
      </c>
      <c r="S52" s="154">
        <v>168</v>
      </c>
      <c r="T52" s="153">
        <v>28440.720000000001</v>
      </c>
    </row>
    <row r="53" spans="1:20" ht="15.75" customHeight="1">
      <c r="A53" s="148">
        <v>38</v>
      </c>
      <c r="B53" s="138" t="s">
        <v>435</v>
      </c>
      <c r="C53" s="138" t="s">
        <v>433</v>
      </c>
      <c r="D53" s="138" t="s">
        <v>391</v>
      </c>
      <c r="E53" s="139" t="s">
        <v>392</v>
      </c>
      <c r="F53" s="138" t="s">
        <v>278</v>
      </c>
      <c r="G53" s="140">
        <v>44879</v>
      </c>
      <c r="H53" s="142">
        <v>45674</v>
      </c>
      <c r="I53" s="151">
        <v>45558</v>
      </c>
      <c r="J53" s="151">
        <v>45922</v>
      </c>
      <c r="K53" s="138" t="s">
        <v>389</v>
      </c>
      <c r="L53" s="138" t="s">
        <v>389</v>
      </c>
      <c r="M53" s="144" t="s">
        <v>389</v>
      </c>
      <c r="N53" s="144" t="s">
        <v>389</v>
      </c>
      <c r="O53" s="138">
        <v>168</v>
      </c>
      <c r="P53" s="94" t="s">
        <v>389</v>
      </c>
      <c r="Q53" s="144" t="s">
        <v>389</v>
      </c>
      <c r="R53" s="153">
        <v>153.30000000000001</v>
      </c>
      <c r="S53" s="154">
        <v>168</v>
      </c>
      <c r="T53" s="153">
        <v>28440.720000000001</v>
      </c>
    </row>
    <row r="54" spans="1:20" ht="15.75" customHeight="1">
      <c r="A54" s="148">
        <v>40</v>
      </c>
      <c r="B54" s="94" t="s">
        <v>478</v>
      </c>
      <c r="C54" s="94" t="s">
        <v>424</v>
      </c>
      <c r="D54" s="138" t="s">
        <v>391</v>
      </c>
      <c r="E54" s="139" t="s">
        <v>392</v>
      </c>
      <c r="F54" s="138" t="s">
        <v>479</v>
      </c>
      <c r="G54" s="140">
        <v>45579</v>
      </c>
      <c r="H54" s="141" t="s">
        <v>389</v>
      </c>
      <c r="I54" s="151">
        <v>45558</v>
      </c>
      <c r="J54" s="151">
        <v>45922</v>
      </c>
      <c r="K54" s="138" t="s">
        <v>389</v>
      </c>
      <c r="L54" s="138" t="s">
        <v>389</v>
      </c>
      <c r="M54" s="155">
        <v>2904.84</v>
      </c>
      <c r="N54" s="155">
        <v>12796.44</v>
      </c>
      <c r="O54" s="138">
        <v>168</v>
      </c>
      <c r="P54" s="94" t="s">
        <v>389</v>
      </c>
      <c r="Q54" s="155">
        <v>15701.28</v>
      </c>
      <c r="R54" s="153">
        <v>169.29</v>
      </c>
      <c r="S54" s="154">
        <v>168</v>
      </c>
      <c r="T54" s="153">
        <v>28440.720000000001</v>
      </c>
    </row>
    <row r="55" spans="1:20" ht="15.75" customHeight="1">
      <c r="A55" s="148">
        <v>40</v>
      </c>
      <c r="B55" s="94" t="s">
        <v>480</v>
      </c>
      <c r="C55" s="94" t="s">
        <v>481</v>
      </c>
      <c r="D55" s="138" t="s">
        <v>391</v>
      </c>
      <c r="E55" s="139" t="s">
        <v>392</v>
      </c>
      <c r="F55" s="138" t="s">
        <v>479</v>
      </c>
      <c r="G55" s="140">
        <v>45516</v>
      </c>
      <c r="H55" s="139" t="s">
        <v>389</v>
      </c>
      <c r="I55" s="151">
        <v>45558</v>
      </c>
      <c r="J55" s="151">
        <v>45922</v>
      </c>
      <c r="K55" s="138" t="s">
        <v>389</v>
      </c>
      <c r="L55" s="138" t="s">
        <v>389</v>
      </c>
      <c r="M55" s="155">
        <v>2904.84</v>
      </c>
      <c r="N55" s="155">
        <v>13788.21</v>
      </c>
      <c r="O55" s="138">
        <v>168</v>
      </c>
      <c r="P55" s="94" t="s">
        <v>389</v>
      </c>
      <c r="Q55" s="155">
        <v>16693.05</v>
      </c>
      <c r="R55" s="153">
        <v>169.29</v>
      </c>
      <c r="S55" s="154">
        <v>168</v>
      </c>
      <c r="T55" s="153">
        <v>25631.759999999998</v>
      </c>
    </row>
    <row r="56" spans="1:20" ht="15.75" customHeight="1">
      <c r="A56" s="148">
        <v>38</v>
      </c>
      <c r="B56" s="94" t="s">
        <v>482</v>
      </c>
      <c r="C56" s="94" t="s">
        <v>449</v>
      </c>
      <c r="D56" s="138" t="s">
        <v>391</v>
      </c>
      <c r="E56" s="139" t="s">
        <v>392</v>
      </c>
      <c r="F56" s="138" t="s">
        <v>479</v>
      </c>
      <c r="G56" s="140">
        <v>45518</v>
      </c>
      <c r="H56" s="142">
        <v>45723</v>
      </c>
      <c r="I56" s="151">
        <v>45558</v>
      </c>
      <c r="J56" s="151">
        <v>45922</v>
      </c>
      <c r="K56" s="138" t="s">
        <v>389</v>
      </c>
      <c r="L56" s="138" t="s">
        <v>389</v>
      </c>
      <c r="M56" s="155">
        <v>2904.84</v>
      </c>
      <c r="N56" s="155">
        <v>19293.07</v>
      </c>
      <c r="O56" s="138">
        <v>168</v>
      </c>
      <c r="P56" s="94" t="s">
        <v>389</v>
      </c>
      <c r="Q56" s="155">
        <v>22197.91</v>
      </c>
      <c r="R56" s="153">
        <v>169.29</v>
      </c>
      <c r="S56" s="154">
        <v>168</v>
      </c>
      <c r="T56" s="153">
        <v>22999.200000000001</v>
      </c>
    </row>
    <row r="57" spans="1:20" ht="15.75" customHeight="1">
      <c r="A57" s="148">
        <v>39</v>
      </c>
      <c r="B57" s="94" t="s">
        <v>483</v>
      </c>
      <c r="C57" s="94" t="s">
        <v>484</v>
      </c>
      <c r="D57" s="138" t="s">
        <v>391</v>
      </c>
      <c r="E57" s="139" t="s">
        <v>392</v>
      </c>
      <c r="F57" s="138" t="s">
        <v>479</v>
      </c>
      <c r="G57" s="140">
        <v>44888</v>
      </c>
      <c r="H57" s="142">
        <v>45723</v>
      </c>
      <c r="I57" s="151">
        <v>45558</v>
      </c>
      <c r="J57" s="151">
        <v>45922</v>
      </c>
      <c r="K57" s="138" t="s">
        <v>389</v>
      </c>
      <c r="L57" s="138" t="s">
        <v>389</v>
      </c>
      <c r="M57" s="155">
        <v>2245</v>
      </c>
      <c r="N57" s="155">
        <v>11685.45</v>
      </c>
      <c r="O57" s="138">
        <v>168</v>
      </c>
      <c r="P57" s="94" t="s">
        <v>389</v>
      </c>
      <c r="Q57" s="155">
        <v>13930.45</v>
      </c>
      <c r="R57" s="153">
        <v>152.57</v>
      </c>
      <c r="S57" s="168" t="e">
        <v>#VALUE!</v>
      </c>
      <c r="T57" s="169"/>
    </row>
    <row r="58" spans="1:20" ht="15.75" customHeight="1">
      <c r="A58" s="148">
        <v>40</v>
      </c>
      <c r="B58" s="94" t="s">
        <v>485</v>
      </c>
      <c r="C58" s="94" t="s">
        <v>421</v>
      </c>
      <c r="D58" s="138" t="s">
        <v>396</v>
      </c>
      <c r="E58" s="139" t="s">
        <v>392</v>
      </c>
      <c r="F58" s="138" t="s">
        <v>479</v>
      </c>
      <c r="G58" s="140">
        <v>45523</v>
      </c>
      <c r="H58" s="142">
        <v>45707</v>
      </c>
      <c r="I58" s="151">
        <v>45558</v>
      </c>
      <c r="J58" s="151">
        <v>45922</v>
      </c>
      <c r="K58" s="138" t="s">
        <v>389</v>
      </c>
      <c r="L58" s="138" t="s">
        <v>389</v>
      </c>
      <c r="M58" s="155">
        <v>2645.04</v>
      </c>
      <c r="N58" s="155">
        <v>9433.9</v>
      </c>
      <c r="O58" s="138">
        <v>168</v>
      </c>
      <c r="P58" s="94" t="s">
        <v>389</v>
      </c>
      <c r="Q58" s="155">
        <v>12078.94</v>
      </c>
      <c r="R58" s="153">
        <v>136.9</v>
      </c>
      <c r="S58" s="171">
        <v>168</v>
      </c>
      <c r="T58" s="169" t="e">
        <v>#VALUE!</v>
      </c>
    </row>
    <row r="59" spans="1:20" ht="15.75" customHeight="1">
      <c r="A59" s="157">
        <v>39</v>
      </c>
      <c r="B59" s="158" t="s">
        <v>486</v>
      </c>
      <c r="C59" s="158" t="s">
        <v>133</v>
      </c>
      <c r="D59" s="159" t="s">
        <v>28</v>
      </c>
      <c r="E59" s="139" t="s">
        <v>392</v>
      </c>
      <c r="F59" s="159" t="s">
        <v>101</v>
      </c>
      <c r="G59" s="160">
        <v>45432</v>
      </c>
      <c r="H59" s="161" t="s">
        <v>389</v>
      </c>
      <c r="I59" s="160">
        <v>45558</v>
      </c>
      <c r="J59" s="160">
        <v>45922</v>
      </c>
      <c r="K59" s="162">
        <v>-35</v>
      </c>
      <c r="L59" s="164">
        <v>2352.09</v>
      </c>
      <c r="M59" s="164">
        <v>13919</v>
      </c>
      <c r="N59" s="159">
        <v>168</v>
      </c>
      <c r="O59" s="164">
        <v>16271.09</v>
      </c>
      <c r="P59" s="162" t="s">
        <v>389</v>
      </c>
      <c r="Q59" s="166">
        <v>169.29</v>
      </c>
      <c r="R59" s="167">
        <v>168</v>
      </c>
      <c r="S59" s="168" t="s">
        <v>389</v>
      </c>
      <c r="T59" s="169"/>
    </row>
    <row r="60" spans="1:20" ht="15.75" customHeight="1">
      <c r="A60" s="157">
        <v>76</v>
      </c>
      <c r="B60" s="158" t="s">
        <v>487</v>
      </c>
      <c r="C60" s="158" t="s">
        <v>133</v>
      </c>
      <c r="D60" s="159" t="s">
        <v>28</v>
      </c>
      <c r="E60" s="139" t="s">
        <v>392</v>
      </c>
      <c r="F60" s="159" t="s">
        <v>101</v>
      </c>
      <c r="G60" s="160">
        <v>45586</v>
      </c>
      <c r="H60" s="170">
        <v>45912</v>
      </c>
      <c r="I60" s="160">
        <v>45558</v>
      </c>
      <c r="J60" s="160">
        <v>45922</v>
      </c>
      <c r="K60" s="162">
        <v>-35</v>
      </c>
      <c r="L60" s="164">
        <v>2689.9</v>
      </c>
      <c r="M60" s="164">
        <v>13076.6</v>
      </c>
      <c r="N60" s="159">
        <v>168</v>
      </c>
      <c r="O60" s="164">
        <v>15766.5</v>
      </c>
      <c r="P60" s="162" t="s">
        <v>389</v>
      </c>
      <c r="Q60" s="166">
        <v>169.29</v>
      </c>
      <c r="R60" s="167" t="s">
        <v>389</v>
      </c>
      <c r="S60" s="167">
        <v>168</v>
      </c>
      <c r="T60" s="179" t="s">
        <v>488</v>
      </c>
    </row>
    <row r="61" spans="1:20" s="119" customFormat="1" ht="15.75" customHeight="1">
      <c r="A61" s="157" t="s">
        <v>389</v>
      </c>
      <c r="B61" s="158" t="s">
        <v>489</v>
      </c>
      <c r="C61" s="158" t="s">
        <v>490</v>
      </c>
      <c r="D61" s="159" t="s">
        <v>45</v>
      </c>
      <c r="E61" s="139" t="s">
        <v>392</v>
      </c>
      <c r="F61" s="159" t="s">
        <v>101</v>
      </c>
      <c r="G61" s="160">
        <v>45042</v>
      </c>
      <c r="H61" s="170">
        <v>45901</v>
      </c>
      <c r="I61" s="172">
        <v>45628</v>
      </c>
      <c r="J61" s="173" t="s">
        <v>389</v>
      </c>
      <c r="K61" s="162" t="s">
        <v>389</v>
      </c>
      <c r="L61" s="163" t="s">
        <v>389</v>
      </c>
      <c r="M61" s="163" t="s">
        <v>389</v>
      </c>
      <c r="N61" s="159" t="s">
        <v>389</v>
      </c>
      <c r="O61" s="163" t="s">
        <v>389</v>
      </c>
      <c r="P61" s="162" t="s">
        <v>389</v>
      </c>
      <c r="Q61" s="165" t="s">
        <v>389</v>
      </c>
      <c r="R61" s="167" t="s">
        <v>389</v>
      </c>
      <c r="S61" s="180"/>
      <c r="T61" s="180"/>
    </row>
    <row r="62" spans="1:20" s="119" customFormat="1" ht="15.75" customHeight="1">
      <c r="A62" s="174">
        <v>36</v>
      </c>
      <c r="B62" s="175" t="s">
        <v>491</v>
      </c>
      <c r="C62" s="158" t="s">
        <v>185</v>
      </c>
      <c r="D62" s="159" t="s">
        <v>70</v>
      </c>
      <c r="E62" s="139" t="s">
        <v>392</v>
      </c>
      <c r="F62" s="159" t="s">
        <v>101</v>
      </c>
      <c r="G62" s="160">
        <v>44837</v>
      </c>
      <c r="H62" s="170">
        <v>45933</v>
      </c>
      <c r="I62" s="177">
        <v>45558</v>
      </c>
      <c r="J62" s="160">
        <v>45922</v>
      </c>
      <c r="K62" s="162">
        <v>-21</v>
      </c>
      <c r="L62" s="164">
        <v>2352.09</v>
      </c>
      <c r="M62" s="164">
        <v>16987.5</v>
      </c>
      <c r="N62" s="159">
        <v>168</v>
      </c>
      <c r="O62" s="164">
        <v>19339.59</v>
      </c>
      <c r="P62" s="178">
        <v>1514.61</v>
      </c>
      <c r="Q62" s="166">
        <v>104.5</v>
      </c>
      <c r="R62" s="166">
        <v>110.77</v>
      </c>
      <c r="S62" s="180"/>
      <c r="T62" s="180"/>
    </row>
    <row r="63" spans="1:20" s="119" customFormat="1" ht="15.75" customHeight="1">
      <c r="A63" s="174">
        <v>39</v>
      </c>
      <c r="B63" s="175" t="s">
        <v>492</v>
      </c>
      <c r="C63" s="158" t="s">
        <v>493</v>
      </c>
      <c r="D63" s="159" t="s">
        <v>28</v>
      </c>
      <c r="E63" s="139" t="s">
        <v>392</v>
      </c>
      <c r="F63" s="159" t="s">
        <v>101</v>
      </c>
      <c r="G63" s="160">
        <v>44545</v>
      </c>
      <c r="H63" s="170">
        <v>45960</v>
      </c>
      <c r="I63" s="177">
        <v>45558</v>
      </c>
      <c r="J63" s="160">
        <v>45922</v>
      </c>
      <c r="K63" s="162">
        <f ca="1">J63-TODAY()</f>
        <v>-192</v>
      </c>
      <c r="L63" s="164">
        <v>2352.09</v>
      </c>
      <c r="M63" s="164">
        <v>15739</v>
      </c>
      <c r="N63" s="159">
        <v>168</v>
      </c>
      <c r="O63" s="164">
        <v>18751.09</v>
      </c>
      <c r="P63" s="178" t="s">
        <v>219</v>
      </c>
      <c r="Q63" s="166">
        <v>152.57</v>
      </c>
      <c r="R63" s="166">
        <v>161.72</v>
      </c>
      <c r="S63" s="180">
        <v>168</v>
      </c>
      <c r="T63" s="180" t="e">
        <f>Tabela1[[#This Row],[R$ TAXA FATURAMENTO]]*Tabela1[[#This Row],[HORAS TRABALHADAS2]]</f>
        <v>#VALUE!</v>
      </c>
    </row>
    <row r="64" spans="1:20" s="119" customFormat="1" ht="15.75" customHeight="1">
      <c r="A64" s="174"/>
      <c r="B64" s="175" t="s">
        <v>494</v>
      </c>
      <c r="C64" s="158" t="s">
        <v>175</v>
      </c>
      <c r="D64" s="159" t="s">
        <v>45</v>
      </c>
      <c r="E64" s="139" t="s">
        <v>392</v>
      </c>
      <c r="F64" s="159" t="s">
        <v>101</v>
      </c>
      <c r="G64" s="160">
        <v>45083</v>
      </c>
      <c r="H64" s="170">
        <v>45964</v>
      </c>
      <c r="I64" s="177">
        <v>45558</v>
      </c>
      <c r="J64" s="160">
        <v>45922</v>
      </c>
      <c r="K64" s="162">
        <f ca="1">J64-TODAY()</f>
        <v>-192</v>
      </c>
      <c r="L64" s="164">
        <v>2775.4</v>
      </c>
      <c r="M64" s="164">
        <v>6045.57</v>
      </c>
      <c r="N64" s="159">
        <v>168</v>
      </c>
      <c r="O64" s="164">
        <v>9480.9699999999993</v>
      </c>
      <c r="P64" s="178"/>
      <c r="Q64" s="166">
        <v>113.1</v>
      </c>
      <c r="R64" s="166">
        <v>119.89</v>
      </c>
      <c r="S64" s="180">
        <v>168</v>
      </c>
    </row>
    <row r="65" spans="1:25" s="119" customFormat="1" ht="15.75" customHeight="1">
      <c r="A65" s="174"/>
      <c r="B65" s="175" t="s">
        <v>495</v>
      </c>
      <c r="C65" s="158" t="s">
        <v>175</v>
      </c>
      <c r="D65" s="159" t="s">
        <v>45</v>
      </c>
      <c r="E65" s="139" t="s">
        <v>392</v>
      </c>
      <c r="F65" s="159" t="s">
        <v>101</v>
      </c>
      <c r="G65" s="160">
        <v>45082</v>
      </c>
      <c r="H65" s="170">
        <v>45989</v>
      </c>
      <c r="I65" s="177">
        <v>45924</v>
      </c>
      <c r="J65" s="160">
        <v>46288</v>
      </c>
      <c r="K65" s="162"/>
      <c r="L65" s="164">
        <v>2775.4</v>
      </c>
      <c r="M65" s="164">
        <v>6438.89</v>
      </c>
      <c r="N65" s="159">
        <v>168</v>
      </c>
      <c r="O65" s="164">
        <v>9874.2900000000009</v>
      </c>
      <c r="P65" s="178"/>
      <c r="Q65" s="166">
        <v>113.1</v>
      </c>
      <c r="R65" s="166">
        <v>119.89</v>
      </c>
      <c r="S65" s="180">
        <v>168</v>
      </c>
      <c r="T65" s="119">
        <v>19000.8</v>
      </c>
    </row>
    <row r="66" spans="1:25" s="119" customFormat="1" ht="15.75" customHeight="1">
      <c r="A66" s="174"/>
      <c r="B66" s="175" t="s">
        <v>496</v>
      </c>
      <c r="C66" s="158" t="s">
        <v>497</v>
      </c>
      <c r="D66" s="159" t="s">
        <v>316</v>
      </c>
      <c r="E66" s="139" t="s">
        <v>392</v>
      </c>
      <c r="F66" s="159" t="s">
        <v>101</v>
      </c>
      <c r="G66" s="160">
        <v>45986</v>
      </c>
      <c r="H66" s="170">
        <v>45993</v>
      </c>
      <c r="I66" s="177"/>
      <c r="J66" s="160"/>
      <c r="K66" s="162"/>
      <c r="L66" s="164">
        <v>2352.09</v>
      </c>
      <c r="M66" s="164">
        <v>13283.91</v>
      </c>
      <c r="N66" s="159">
        <v>168</v>
      </c>
      <c r="O66" s="164"/>
      <c r="P66" s="178"/>
      <c r="Q66" s="166"/>
      <c r="R66" s="166"/>
      <c r="S66" s="180"/>
    </row>
    <row r="67" spans="1:25" s="119" customFormat="1" ht="15.75" customHeight="1">
      <c r="A67" s="174">
        <v>90</v>
      </c>
      <c r="B67" s="175" t="s">
        <v>498</v>
      </c>
      <c r="C67" s="158" t="s">
        <v>499</v>
      </c>
      <c r="D67" s="159" t="s">
        <v>45</v>
      </c>
      <c r="E67" s="139" t="s">
        <v>392</v>
      </c>
      <c r="F67" s="159" t="s">
        <v>101</v>
      </c>
      <c r="G67" s="160">
        <v>45398</v>
      </c>
      <c r="H67" s="170">
        <v>46001</v>
      </c>
      <c r="I67" s="177">
        <v>45757</v>
      </c>
      <c r="J67" s="160">
        <v>46121</v>
      </c>
      <c r="K67" s="162">
        <f t="shared" ref="K67:K73" ca="1" si="0">J67-TODAY()</f>
        <v>7</v>
      </c>
      <c r="L67" s="164">
        <v>2984.3</v>
      </c>
      <c r="M67" s="164">
        <v>4008.06</v>
      </c>
      <c r="N67" s="159">
        <v>168</v>
      </c>
      <c r="O67" s="164">
        <v>16160.92</v>
      </c>
      <c r="P67" s="178"/>
      <c r="Q67" s="166">
        <v>104.5</v>
      </c>
      <c r="R67" s="166">
        <v>110.77</v>
      </c>
      <c r="S67" s="180">
        <v>168</v>
      </c>
      <c r="T67" s="119" t="e">
        <f>Tabela1[[#This Row],[R$ TAXA FATURAMENTO]]*Tabela1[[#This Row],[HORAS TRABALHADAS2]]</f>
        <v>#VALUE!</v>
      </c>
    </row>
    <row r="68" spans="1:25" s="119" customFormat="1" ht="15.75" customHeight="1">
      <c r="A68" s="174">
        <v>141</v>
      </c>
      <c r="B68" s="175" t="s">
        <v>500</v>
      </c>
      <c r="C68" s="158" t="s">
        <v>105</v>
      </c>
      <c r="D68" s="159" t="s">
        <v>70</v>
      </c>
      <c r="E68" s="139" t="s">
        <v>392</v>
      </c>
      <c r="F68" s="159" t="s">
        <v>101</v>
      </c>
      <c r="G68" s="160">
        <v>45832</v>
      </c>
      <c r="H68" s="170">
        <v>46002</v>
      </c>
      <c r="I68" s="177">
        <v>45923</v>
      </c>
      <c r="J68" s="160">
        <v>46287</v>
      </c>
      <c r="K68" s="162">
        <f t="shared" ca="1" si="0"/>
        <v>173</v>
      </c>
      <c r="L68" s="164">
        <v>2352.09</v>
      </c>
      <c r="M68" s="164">
        <v>9083.91</v>
      </c>
      <c r="N68" s="159">
        <v>168</v>
      </c>
      <c r="O68" s="164" t="e">
        <f>Tabela1[[#This Row],[VALOR CLT]]+Tabela1[[#This Row],[CLT ESTRATÉGICO]]</f>
        <v>#VALUE!</v>
      </c>
      <c r="P68" s="178"/>
      <c r="Q68" s="166">
        <v>120.18</v>
      </c>
      <c r="R68" s="166">
        <v>127.39</v>
      </c>
      <c r="S68" s="180">
        <v>168</v>
      </c>
      <c r="T68" s="119" t="e">
        <f>Tabela1[[#This Row],[R$ TAXA FATURAMENTO]]*Tabela1[[#This Row],[HORAS TRABALHADAS2]]</f>
        <v>#VALUE!</v>
      </c>
    </row>
    <row r="69" spans="1:25" s="119" customFormat="1" ht="15.75" customHeight="1">
      <c r="A69" s="174">
        <v>107</v>
      </c>
      <c r="B69" s="175" t="s">
        <v>501</v>
      </c>
      <c r="C69" s="158" t="s">
        <v>133</v>
      </c>
      <c r="D69" s="159" t="s">
        <v>28</v>
      </c>
      <c r="E69" s="139" t="s">
        <v>392</v>
      </c>
      <c r="F69" s="159" t="s">
        <v>101</v>
      </c>
      <c r="G69" s="160">
        <v>45712</v>
      </c>
      <c r="H69" s="170">
        <v>46030</v>
      </c>
      <c r="I69" s="177">
        <v>45922</v>
      </c>
      <c r="J69" s="160">
        <v>46286</v>
      </c>
      <c r="K69" s="162">
        <f t="shared" ca="1" si="0"/>
        <v>172</v>
      </c>
      <c r="L69" s="164">
        <v>2352.09</v>
      </c>
      <c r="M69" s="164">
        <v>12687.91</v>
      </c>
      <c r="N69" s="159">
        <v>168</v>
      </c>
      <c r="O69" s="164">
        <v>15700</v>
      </c>
      <c r="P69" s="178"/>
      <c r="Q69" s="166">
        <v>169.29</v>
      </c>
      <c r="R69" s="166">
        <v>179.45</v>
      </c>
      <c r="S69" s="180">
        <v>168</v>
      </c>
      <c r="T69" s="119" t="e">
        <f>Tabela1[[#This Row],[R$ TAXA FATURAMENTO]]*Tabela1[[#This Row],[HORAS TRABALHADAS2]]</f>
        <v>#VALUE!</v>
      </c>
    </row>
    <row r="70" spans="1:25" s="119" customFormat="1" ht="15.75" customHeight="1">
      <c r="A70" s="174">
        <v>120</v>
      </c>
      <c r="B70" s="175" t="s">
        <v>502</v>
      </c>
      <c r="C70" s="158" t="s">
        <v>503</v>
      </c>
      <c r="D70" s="159" t="s">
        <v>28</v>
      </c>
      <c r="E70" s="139" t="s">
        <v>392</v>
      </c>
      <c r="F70" s="159" t="s">
        <v>101</v>
      </c>
      <c r="G70" s="160">
        <v>45056</v>
      </c>
      <c r="H70" s="170">
        <v>46052</v>
      </c>
      <c r="I70" s="177">
        <v>45924</v>
      </c>
      <c r="J70" s="160">
        <v>46288</v>
      </c>
      <c r="K70" s="162">
        <f t="shared" ca="1" si="0"/>
        <v>174</v>
      </c>
      <c r="L70" s="164">
        <v>2686.91</v>
      </c>
      <c r="M70" s="164">
        <v>8968.2800000000007</v>
      </c>
      <c r="N70" s="159">
        <v>168</v>
      </c>
      <c r="O70" s="164">
        <v>7381.43</v>
      </c>
      <c r="P70" s="178"/>
      <c r="Q70" s="166">
        <v>136.9</v>
      </c>
      <c r="R70" s="166">
        <v>145.11000000000001</v>
      </c>
      <c r="S70" s="180">
        <v>168</v>
      </c>
      <c r="T70" s="119" t="e">
        <f>Tabela1[[#This Row],[R$ TAXA FATURAMENTO]]*Tabela1[[#This Row],[HORAS TRABALHADAS2]]</f>
        <v>#VALUE!</v>
      </c>
    </row>
    <row r="71" spans="1:25" s="119" customFormat="1" ht="15.75" customHeight="1">
      <c r="A71" s="174">
        <v>138</v>
      </c>
      <c r="B71" s="175" t="s">
        <v>504</v>
      </c>
      <c r="C71" s="158" t="s">
        <v>505</v>
      </c>
      <c r="D71" s="159" t="s">
        <v>61</v>
      </c>
      <c r="E71" s="139" t="s">
        <v>392</v>
      </c>
      <c r="F71" s="159" t="s">
        <v>101</v>
      </c>
      <c r="G71" s="160">
        <v>45369</v>
      </c>
      <c r="H71" s="170">
        <v>46048</v>
      </c>
      <c r="I71" s="177">
        <v>45923</v>
      </c>
      <c r="J71" s="160">
        <v>46287</v>
      </c>
      <c r="K71" s="162">
        <f t="shared" ca="1" si="0"/>
        <v>173</v>
      </c>
      <c r="L71" s="164">
        <v>3033.2</v>
      </c>
      <c r="M71" s="164">
        <v>13235.62</v>
      </c>
      <c r="N71" s="159">
        <v>168</v>
      </c>
      <c r="O71" s="164">
        <v>16928.82</v>
      </c>
      <c r="P71" s="178"/>
      <c r="Q71" s="166">
        <v>177.65</v>
      </c>
      <c r="R71" s="166">
        <v>188.31</v>
      </c>
      <c r="S71" s="180">
        <v>168</v>
      </c>
      <c r="T71" s="119" t="e">
        <f>Tabela1[[#This Row],[R$ TAXA FATURAMENTO]]*Tabela1[[#This Row],[HORAS TRABALHADAS2]]</f>
        <v>#VALUE!</v>
      </c>
    </row>
    <row r="72" spans="1:25" s="119" customFormat="1" ht="15.75" customHeight="1">
      <c r="A72" s="174">
        <v>143</v>
      </c>
      <c r="B72" s="175" t="s">
        <v>506</v>
      </c>
      <c r="C72" s="158" t="s">
        <v>507</v>
      </c>
      <c r="D72" s="159" t="s">
        <v>45</v>
      </c>
      <c r="E72" s="139" t="s">
        <v>392</v>
      </c>
      <c r="F72" s="159" t="s">
        <v>101</v>
      </c>
      <c r="G72" s="160">
        <v>45309</v>
      </c>
      <c r="H72" s="170">
        <v>46044</v>
      </c>
      <c r="I72" s="177">
        <v>45931</v>
      </c>
      <c r="J72" s="160">
        <v>46296</v>
      </c>
      <c r="K72" s="162">
        <f t="shared" ca="1" si="0"/>
        <v>182</v>
      </c>
      <c r="L72" s="164">
        <v>3018.65</v>
      </c>
      <c r="M72" s="164">
        <v>3702.78</v>
      </c>
      <c r="N72" s="159">
        <v>168</v>
      </c>
      <c r="O72" s="164">
        <v>13963.28</v>
      </c>
      <c r="P72" s="178"/>
      <c r="Q72" s="166">
        <v>87.63</v>
      </c>
      <c r="R72" s="166">
        <v>92.89</v>
      </c>
      <c r="S72" s="180">
        <v>168</v>
      </c>
      <c r="T72" s="119" t="e">
        <f>Tabela1[[#This Row],[R$ TAXA FATURAMENTO]]*Tabela1[[#This Row],[HORAS TRABALHADAS2]]</f>
        <v>#VALUE!</v>
      </c>
    </row>
    <row r="73" spans="1:25" s="119" customFormat="1" ht="15.75" customHeight="1">
      <c r="A73" s="174">
        <v>118</v>
      </c>
      <c r="B73" s="175" t="s">
        <v>508</v>
      </c>
      <c r="C73" s="158" t="s">
        <v>176</v>
      </c>
      <c r="D73" s="159" t="s">
        <v>45</v>
      </c>
      <c r="E73" s="139" t="s">
        <v>392</v>
      </c>
      <c r="F73" s="159" t="s">
        <v>101</v>
      </c>
      <c r="G73" s="160">
        <v>45418</v>
      </c>
      <c r="H73" s="170">
        <v>46073</v>
      </c>
      <c r="I73" s="177">
        <v>45924</v>
      </c>
      <c r="J73" s="160">
        <v>46288</v>
      </c>
      <c r="K73" s="162">
        <f t="shared" ca="1" si="0"/>
        <v>174</v>
      </c>
      <c r="L73" s="164">
        <v>2777.88</v>
      </c>
      <c r="M73" s="164">
        <v>6328.1</v>
      </c>
      <c r="N73" s="159">
        <v>168</v>
      </c>
      <c r="O73" s="164">
        <v>9765.98</v>
      </c>
      <c r="P73" s="178"/>
      <c r="Q73" s="166">
        <v>113.1</v>
      </c>
      <c r="R73" s="166">
        <v>119.89</v>
      </c>
      <c r="S73" s="180">
        <v>168</v>
      </c>
      <c r="T73" s="119" t="e">
        <f>Tabela1[[#This Row],[R$ TAXA FATURAMENTO]]*Tabela1[[#This Row],[HORAS TRABALHADAS2]]</f>
        <v>#VALUE!</v>
      </c>
    </row>
    <row r="74" spans="1:25" s="119" customFormat="1" ht="15.75" customHeight="1">
      <c r="A74" s="174">
        <v>171</v>
      </c>
      <c r="B74" s="175" t="s">
        <v>509</v>
      </c>
      <c r="C74" s="158" t="s">
        <v>510</v>
      </c>
      <c r="D74" s="159" t="s">
        <v>28</v>
      </c>
      <c r="E74" s="139" t="s">
        <v>392</v>
      </c>
      <c r="F74" s="159" t="s">
        <v>101</v>
      </c>
      <c r="G74" s="160">
        <v>45957</v>
      </c>
      <c r="H74" s="170">
        <v>46080</v>
      </c>
      <c r="I74" s="177">
        <v>45957</v>
      </c>
      <c r="J74" s="160">
        <v>46288</v>
      </c>
      <c r="K74" s="162">
        <f t="shared" ref="K74" ca="1" si="1">J74-TODAY()</f>
        <v>174</v>
      </c>
      <c r="L74" s="164">
        <v>2352.09</v>
      </c>
      <c r="M74" s="164">
        <v>12767.91</v>
      </c>
      <c r="N74" s="159">
        <v>168</v>
      </c>
      <c r="O74" s="164"/>
      <c r="P74" s="178"/>
      <c r="Q74" s="166"/>
      <c r="R74" s="166">
        <v>166.95</v>
      </c>
      <c r="S74" s="180">
        <v>168</v>
      </c>
      <c r="T74" s="119" t="e">
        <f>Tabela1[[#This Row],[Faturamento Renovação 2025]]*Tabela1[[#This Row],[HORAS TRABALHADAS2]]</f>
        <v>#VALUE!</v>
      </c>
    </row>
    <row r="75" spans="1:25" s="119" customFormat="1" ht="15.75" customHeight="1">
      <c r="A75" s="174">
        <v>122</v>
      </c>
      <c r="B75" s="175" t="s">
        <v>511</v>
      </c>
      <c r="C75" s="158" t="s">
        <v>512</v>
      </c>
      <c r="D75" s="159" t="s">
        <v>61</v>
      </c>
      <c r="E75" s="139" t="s">
        <v>392</v>
      </c>
      <c r="F75" s="159" t="s">
        <v>101</v>
      </c>
      <c r="G75" s="160">
        <v>44602</v>
      </c>
      <c r="H75" s="170">
        <v>46087</v>
      </c>
      <c r="I75" s="177">
        <v>45962</v>
      </c>
      <c r="J75" s="160">
        <v>46288</v>
      </c>
      <c r="K75" s="162">
        <f t="shared" ref="K75" ca="1" si="2">J75-TODAY()</f>
        <v>174</v>
      </c>
      <c r="L75" s="164">
        <v>2352.09</v>
      </c>
      <c r="M75" s="164">
        <v>19139</v>
      </c>
      <c r="N75" s="159">
        <v>168</v>
      </c>
      <c r="O75" s="164">
        <v>22151.09</v>
      </c>
      <c r="P75" s="178">
        <v>257.76</v>
      </c>
      <c r="Q75" s="166">
        <v>184.97</v>
      </c>
      <c r="R75" s="166">
        <v>196.06</v>
      </c>
      <c r="S75" s="180">
        <v>168</v>
      </c>
      <c r="T75" s="119" t="e">
        <f>Tabela1[[#This Row],[R$ TAXA FATURAMENTO]]*Tabela1[[#This Row],[HORAS TRABALHADAS2]]</f>
        <v>#VALUE!</v>
      </c>
    </row>
    <row r="76" spans="1:25" s="332" customFormat="1" ht="15" customHeight="1">
      <c r="A76" s="174">
        <v>105</v>
      </c>
      <c r="B76" s="175" t="s">
        <v>513</v>
      </c>
      <c r="C76" s="158" t="s">
        <v>200</v>
      </c>
      <c r="D76" s="159" t="s">
        <v>45</v>
      </c>
      <c r="E76" s="139" t="s">
        <v>392</v>
      </c>
      <c r="F76" s="159" t="s">
        <v>101</v>
      </c>
      <c r="G76" s="160">
        <v>45337</v>
      </c>
      <c r="H76" s="170">
        <v>46101</v>
      </c>
      <c r="I76" s="177">
        <v>45924</v>
      </c>
      <c r="J76" s="160">
        <v>46288</v>
      </c>
      <c r="K76" s="162">
        <f ca="1">J76-TODAY()</f>
        <v>174</v>
      </c>
      <c r="L76" s="164">
        <v>2809.99</v>
      </c>
      <c r="M76" s="164">
        <v>6101.36</v>
      </c>
      <c r="N76" s="159">
        <v>168</v>
      </c>
      <c r="O76" s="164">
        <f>L76+M76+704</f>
        <v>9615.3499999999985</v>
      </c>
      <c r="P76" s="178"/>
      <c r="Q76" s="166">
        <v>113.1</v>
      </c>
      <c r="R76" s="166">
        <v>119.89</v>
      </c>
      <c r="S76" s="180">
        <v>168</v>
      </c>
      <c r="T76" s="119" t="e">
        <f>Tabela1[[#This Row],[R$ TAXA FATURAMENTO]]*Tabela1[[#This Row],[HORAS TRABALHADAS2]]</f>
        <v>#VALUE!</v>
      </c>
      <c r="U76" s="119"/>
      <c r="V76" s="119"/>
      <c r="W76" s="119"/>
      <c r="X76" s="119"/>
      <c r="Y76" s="119"/>
    </row>
    <row r="77" spans="1:25" s="332" customFormat="1" ht="15" customHeight="1">
      <c r="A77" s="174">
        <v>130</v>
      </c>
      <c r="B77" s="175" t="s">
        <v>514</v>
      </c>
      <c r="C77" s="158" t="s">
        <v>515</v>
      </c>
      <c r="D77" s="159" t="s">
        <v>45</v>
      </c>
      <c r="E77" s="139" t="s">
        <v>392</v>
      </c>
      <c r="F77" s="159" t="s">
        <v>101</v>
      </c>
      <c r="G77" s="160">
        <v>45922</v>
      </c>
      <c r="H77" s="170">
        <v>46101</v>
      </c>
      <c r="I77" s="177">
        <v>45922</v>
      </c>
      <c r="J77" s="160">
        <v>46287</v>
      </c>
      <c r="K77" s="162">
        <f t="shared" ref="K77" ca="1" si="3">J77-TODAY()</f>
        <v>173</v>
      </c>
      <c r="L77" s="164">
        <v>3919.61</v>
      </c>
      <c r="M77" s="164">
        <v>8395.2000000000007</v>
      </c>
      <c r="N77" s="159">
        <v>168</v>
      </c>
      <c r="O77" s="164">
        <f>L77+M77+704</f>
        <v>13018.810000000001</v>
      </c>
      <c r="P77" s="178"/>
      <c r="Q77" s="166">
        <v>151.19999999999999</v>
      </c>
      <c r="R77" s="166">
        <v>160.27000000000001</v>
      </c>
      <c r="S77" s="180">
        <v>168</v>
      </c>
      <c r="T77" s="119" t="e">
        <f>Tabela1[[#This Row],[R$ TAXA FATURAMENTO]]*Tabela1[[#This Row],[HORAS TRABALHADAS2]]</f>
        <v>#VALUE!</v>
      </c>
      <c r="U77" s="119"/>
      <c r="V77" s="119"/>
      <c r="W77" s="119"/>
      <c r="X77" s="119"/>
      <c r="Y77" s="119"/>
    </row>
    <row r="78" spans="1:25" s="332" customFormat="1" ht="15" customHeight="1">
      <c r="A78" s="174">
        <v>147</v>
      </c>
      <c r="B78" s="175" t="s">
        <v>516</v>
      </c>
      <c r="C78" s="158" t="s">
        <v>517</v>
      </c>
      <c r="D78" s="159" t="s">
        <v>28</v>
      </c>
      <c r="E78" s="139" t="s">
        <v>392</v>
      </c>
      <c r="F78" s="159" t="s">
        <v>101</v>
      </c>
      <c r="G78" s="160">
        <v>45950</v>
      </c>
      <c r="H78" s="170">
        <v>45748</v>
      </c>
      <c r="I78" s="177">
        <v>45950</v>
      </c>
      <c r="J78" s="160">
        <v>46288</v>
      </c>
      <c r="K78" s="162">
        <f t="shared" ref="K78" ca="1" si="4">J78-TODAY()</f>
        <v>174</v>
      </c>
      <c r="L78" s="164"/>
      <c r="M78" s="164">
        <v>2500</v>
      </c>
      <c r="N78" s="159">
        <v>14459.91</v>
      </c>
      <c r="O78" s="164">
        <f>L78+M78+704</f>
        <v>3204</v>
      </c>
      <c r="P78" s="178"/>
      <c r="Q78" s="166">
        <v>201.91</v>
      </c>
      <c r="R78" s="166">
        <v>201.91</v>
      </c>
      <c r="S78" s="180">
        <v>168</v>
      </c>
      <c r="T78" s="119"/>
      <c r="U78" s="119"/>
      <c r="V78" s="119"/>
      <c r="W78" s="119"/>
      <c r="X78" s="119"/>
      <c r="Y78" s="119"/>
    </row>
    <row r="79" spans="1:25" s="332" customFormat="1" ht="15" customHeight="1">
      <c r="A79" s="174">
        <v>137</v>
      </c>
      <c r="B79" s="175" t="s">
        <v>518</v>
      </c>
      <c r="C79" s="158" t="s">
        <v>200</v>
      </c>
      <c r="D79" s="159" t="s">
        <v>45</v>
      </c>
      <c r="E79" s="139" t="s">
        <v>392</v>
      </c>
      <c r="F79" s="159" t="s">
        <v>101</v>
      </c>
      <c r="G79" s="160">
        <v>45082</v>
      </c>
      <c r="H79" s="170">
        <v>46112</v>
      </c>
      <c r="I79" s="177">
        <v>45924</v>
      </c>
      <c r="J79" s="160">
        <v>46288</v>
      </c>
      <c r="K79" s="162">
        <f t="shared" ref="K79" ca="1" si="5">J79-TODAY()</f>
        <v>174</v>
      </c>
      <c r="L79" s="164">
        <v>2886.42</v>
      </c>
      <c r="M79" s="164">
        <v>6414.12</v>
      </c>
      <c r="N79" s="159">
        <v>168</v>
      </c>
      <c r="O79" s="164">
        <f t="shared" ref="O79" si="6">L79+M79+704</f>
        <v>10004.540000000001</v>
      </c>
      <c r="P79" s="178"/>
      <c r="Q79" s="166">
        <v>113.1</v>
      </c>
      <c r="R79" s="166">
        <v>119.89</v>
      </c>
      <c r="S79" s="180">
        <v>168</v>
      </c>
      <c r="T79" s="119" t="e">
        <f>Tabela1[[#This Row],[R$ TAXA FATURAMENTO]]*Tabela1[[#This Row],[HORAS TRABALHADAS2]]</f>
        <v>#VALUE!</v>
      </c>
      <c r="U79" s="119"/>
      <c r="V79" s="119"/>
      <c r="W79" s="119"/>
      <c r="X79" s="119"/>
      <c r="Y79" s="119"/>
    </row>
    <row r="80" spans="1:25" s="332" customFormat="1" ht="15" customHeight="1">
      <c r="A80" s="174">
        <v>171</v>
      </c>
      <c r="B80" s="175" t="s">
        <v>519</v>
      </c>
      <c r="C80" s="158" t="s">
        <v>520</v>
      </c>
      <c r="D80" s="159" t="s">
        <v>70</v>
      </c>
      <c r="E80" s="139" t="s">
        <v>392</v>
      </c>
      <c r="F80" s="159" t="s">
        <v>101</v>
      </c>
      <c r="G80" s="160">
        <v>44963</v>
      </c>
      <c r="H80" s="170">
        <v>46112</v>
      </c>
      <c r="I80" s="177">
        <v>45922</v>
      </c>
      <c r="J80" s="160">
        <v>46287</v>
      </c>
      <c r="K80" s="162">
        <f t="shared" ref="K80" ca="1" si="7">J80-TODAY()</f>
        <v>173</v>
      </c>
      <c r="L80" s="164">
        <v>2500</v>
      </c>
      <c r="M80" s="164">
        <v>5701.39</v>
      </c>
      <c r="N80" s="159">
        <v>168</v>
      </c>
      <c r="O80" s="164">
        <f t="shared" ref="O80" si="8">L80+M80+704</f>
        <v>8905.39</v>
      </c>
      <c r="P80" s="178">
        <v>373.24</v>
      </c>
      <c r="Q80" s="166">
        <v>104.5</v>
      </c>
      <c r="R80" s="166">
        <v>110.77</v>
      </c>
      <c r="S80" s="180">
        <v>168</v>
      </c>
      <c r="T80" s="119" t="e">
        <f>Tabela1[[#This Row],[R$ TAXA FATURAMENTO]]*Tabela1[[#This Row],[HORAS TRABALHADAS2]]</f>
        <v>#VALUE!</v>
      </c>
      <c r="U80" s="119"/>
      <c r="V80" s="119"/>
      <c r="W80" s="119"/>
      <c r="X80" s="119"/>
      <c r="Y80" s="119"/>
    </row>
    <row r="81" spans="1:25" s="344" customFormat="1" ht="15" customHeight="1">
      <c r="A81" s="205"/>
      <c r="B81" s="193"/>
      <c r="C81" s="205"/>
      <c r="D81" s="205"/>
      <c r="E81" s="253"/>
      <c r="F81" s="205"/>
      <c r="G81" s="219"/>
      <c r="H81" s="258"/>
      <c r="I81" s="219"/>
      <c r="J81" s="219"/>
      <c r="K81" s="237"/>
      <c r="L81" s="257"/>
      <c r="M81" s="257"/>
      <c r="N81" s="205"/>
      <c r="O81" s="257"/>
      <c r="P81" s="255"/>
      <c r="Q81" s="259"/>
      <c r="R81" s="259"/>
      <c r="S81" s="180"/>
      <c r="T81" s="116"/>
      <c r="U81" s="116"/>
      <c r="V81" s="116"/>
      <c r="W81" s="116"/>
      <c r="X81" s="116"/>
      <c r="Y81" s="116"/>
    </row>
    <row r="82" spans="1:25" s="116" customFormat="1">
      <c r="A82" s="205"/>
      <c r="B82" s="193"/>
      <c r="C82" s="205"/>
      <c r="D82" s="205"/>
      <c r="E82" s="205"/>
      <c r="F82" s="205"/>
      <c r="G82" s="219"/>
      <c r="H82" s="258"/>
      <c r="I82" s="219"/>
      <c r="J82" s="219"/>
      <c r="K82" s="237"/>
      <c r="L82" s="257"/>
      <c r="M82" s="257"/>
      <c r="N82" s="205"/>
      <c r="O82" s="257"/>
      <c r="P82" s="255"/>
      <c r="Q82" s="259"/>
      <c r="R82" s="259"/>
      <c r="S82" s="180"/>
      <c r="T82" s="180"/>
    </row>
    <row r="83" spans="1:25" ht="16.5">
      <c r="A83" s="350" t="s">
        <v>521</v>
      </c>
      <c r="B83" s="351"/>
      <c r="C83" s="351"/>
      <c r="D83" s="351"/>
      <c r="E83" s="351"/>
      <c r="F83" s="351"/>
      <c r="G83" s="351"/>
      <c r="H83" s="351"/>
      <c r="I83" s="351"/>
      <c r="J83" s="351"/>
      <c r="K83" s="351"/>
      <c r="L83" s="351"/>
      <c r="M83" s="351"/>
      <c r="N83" s="351"/>
      <c r="O83" s="351"/>
      <c r="P83" s="351"/>
      <c r="Q83" s="351"/>
      <c r="R83" s="351"/>
      <c r="S83" s="137" t="e">
        <v>#REF!</v>
      </c>
      <c r="T83" s="185" t="s">
        <v>389</v>
      </c>
    </row>
    <row r="84" spans="1:25" ht="16.5" customHeight="1">
      <c r="A84" s="181">
        <v>38</v>
      </c>
      <c r="B84" s="124" t="s">
        <v>522</v>
      </c>
      <c r="C84" s="125" t="s">
        <v>523</v>
      </c>
      <c r="D84" s="125" t="s">
        <v>391</v>
      </c>
      <c r="E84" s="126" t="s">
        <v>392</v>
      </c>
      <c r="F84" s="125" t="s">
        <v>402</v>
      </c>
      <c r="G84" s="127">
        <v>43633</v>
      </c>
      <c r="H84" s="128">
        <v>45301</v>
      </c>
      <c r="I84" s="127">
        <v>45017</v>
      </c>
      <c r="J84" s="127">
        <v>45352</v>
      </c>
      <c r="K84" s="89" t="s">
        <v>389</v>
      </c>
      <c r="L84" s="89" t="s">
        <v>389</v>
      </c>
      <c r="M84" s="182">
        <v>98.25</v>
      </c>
      <c r="N84" s="125" t="s">
        <v>389</v>
      </c>
      <c r="O84" s="132" t="s">
        <v>397</v>
      </c>
      <c r="P84" s="183">
        <v>1520.24</v>
      </c>
      <c r="Q84" s="184" t="s">
        <v>389</v>
      </c>
      <c r="R84" s="182">
        <v>145.97</v>
      </c>
      <c r="S84" s="137" t="e">
        <v>#REF!</v>
      </c>
      <c r="T84" s="185" t="s">
        <v>389</v>
      </c>
    </row>
    <row r="85" spans="1:25" ht="16.5" customHeight="1">
      <c r="A85" s="136">
        <v>38</v>
      </c>
      <c r="B85" s="137" t="s">
        <v>524</v>
      </c>
      <c r="C85" s="138" t="s">
        <v>525</v>
      </c>
      <c r="D85" s="138" t="s">
        <v>396</v>
      </c>
      <c r="E85" s="139" t="s">
        <v>392</v>
      </c>
      <c r="F85" s="138" t="s">
        <v>402</v>
      </c>
      <c r="G85" s="186">
        <v>45188</v>
      </c>
      <c r="H85" s="142">
        <v>45205</v>
      </c>
      <c r="I85" s="140">
        <v>45017</v>
      </c>
      <c r="J85" s="140">
        <v>45352</v>
      </c>
      <c r="K85" s="94" t="s">
        <v>389</v>
      </c>
      <c r="L85" s="94" t="s">
        <v>389</v>
      </c>
      <c r="M85" s="145">
        <v>49.73</v>
      </c>
      <c r="N85" s="138" t="s">
        <v>389</v>
      </c>
      <c r="O85" s="144" t="s">
        <v>397</v>
      </c>
      <c r="P85" s="144" t="s">
        <v>389</v>
      </c>
      <c r="Q85" s="187" t="s">
        <v>389</v>
      </c>
      <c r="R85" s="145">
        <v>114.4</v>
      </c>
      <c r="S85" s="137" t="e">
        <v>#REF!</v>
      </c>
      <c r="T85" s="185" t="s">
        <v>389</v>
      </c>
    </row>
    <row r="86" spans="1:25" ht="16.5" customHeight="1">
      <c r="A86" s="136">
        <v>38</v>
      </c>
      <c r="B86" s="137" t="s">
        <v>526</v>
      </c>
      <c r="C86" s="138" t="s">
        <v>523</v>
      </c>
      <c r="D86" s="138" t="s">
        <v>391</v>
      </c>
      <c r="E86" s="139" t="s">
        <v>392</v>
      </c>
      <c r="F86" s="138" t="s">
        <v>402</v>
      </c>
      <c r="G86" s="140">
        <v>43591</v>
      </c>
      <c r="H86" s="142">
        <v>45198</v>
      </c>
      <c r="I86" s="140">
        <v>45017</v>
      </c>
      <c r="J86" s="140">
        <v>45352</v>
      </c>
      <c r="K86" s="94" t="s">
        <v>389</v>
      </c>
      <c r="L86" s="94" t="s">
        <v>389</v>
      </c>
      <c r="M86" s="145">
        <v>78.31</v>
      </c>
      <c r="N86" s="138" t="s">
        <v>389</v>
      </c>
      <c r="O86" s="144" t="s">
        <v>397</v>
      </c>
      <c r="P86" s="144" t="s">
        <v>389</v>
      </c>
      <c r="Q86" s="187" t="s">
        <v>389</v>
      </c>
      <c r="R86" s="145">
        <v>145.97</v>
      </c>
      <c r="S86" s="137" t="e">
        <v>#REF!</v>
      </c>
      <c r="T86" s="185" t="s">
        <v>389</v>
      </c>
    </row>
    <row r="87" spans="1:25" ht="16.5" customHeight="1">
      <c r="A87" s="136">
        <v>38</v>
      </c>
      <c r="B87" s="137" t="s">
        <v>527</v>
      </c>
      <c r="C87" s="138" t="s">
        <v>528</v>
      </c>
      <c r="D87" s="138" t="s">
        <v>431</v>
      </c>
      <c r="E87" s="139" t="s">
        <v>392</v>
      </c>
      <c r="F87" s="138" t="s">
        <v>402</v>
      </c>
      <c r="G87" s="186">
        <v>44991</v>
      </c>
      <c r="H87" s="142">
        <v>45300</v>
      </c>
      <c r="I87" s="140">
        <v>45017</v>
      </c>
      <c r="J87" s="140">
        <v>45352</v>
      </c>
      <c r="K87" s="94" t="s">
        <v>389</v>
      </c>
      <c r="L87" s="94" t="s">
        <v>389</v>
      </c>
      <c r="M87" s="145">
        <v>29.76</v>
      </c>
      <c r="N87" s="138" t="s">
        <v>389</v>
      </c>
      <c r="O87" s="144" t="s">
        <v>397</v>
      </c>
      <c r="P87" s="155">
        <v>358.24</v>
      </c>
      <c r="Q87" s="187" t="s">
        <v>389</v>
      </c>
      <c r="R87" s="145">
        <v>67.37</v>
      </c>
      <c r="S87" s="137" t="e">
        <v>#REF!</v>
      </c>
      <c r="T87" s="185" t="s">
        <v>389</v>
      </c>
    </row>
    <row r="88" spans="1:25" ht="16.5" customHeight="1">
      <c r="A88" s="136" t="s">
        <v>389</v>
      </c>
      <c r="B88" s="137" t="s">
        <v>529</v>
      </c>
      <c r="C88" s="138" t="s">
        <v>530</v>
      </c>
      <c r="D88" s="138" t="s">
        <v>391</v>
      </c>
      <c r="E88" s="139" t="s">
        <v>392</v>
      </c>
      <c r="F88" s="138" t="s">
        <v>278</v>
      </c>
      <c r="G88" s="186">
        <v>45306</v>
      </c>
      <c r="H88" s="142">
        <v>45337</v>
      </c>
      <c r="I88" s="138" t="s">
        <v>389</v>
      </c>
      <c r="J88" s="138" t="s">
        <v>389</v>
      </c>
      <c r="K88" s="94" t="s">
        <v>389</v>
      </c>
      <c r="L88" s="94" t="s">
        <v>389</v>
      </c>
      <c r="M88" s="145">
        <v>60</v>
      </c>
      <c r="N88" s="138" t="s">
        <v>389</v>
      </c>
      <c r="O88" s="144" t="s">
        <v>397</v>
      </c>
      <c r="P88" s="144" t="s">
        <v>389</v>
      </c>
      <c r="Q88" s="187" t="s">
        <v>389</v>
      </c>
      <c r="R88" s="145">
        <v>157.19999999999999</v>
      </c>
      <c r="S88" s="137" t="e">
        <v>#REF!</v>
      </c>
      <c r="T88" s="185" t="s">
        <v>389</v>
      </c>
    </row>
    <row r="89" spans="1:25" ht="16.5" customHeight="1">
      <c r="A89" s="136">
        <v>38</v>
      </c>
      <c r="B89" s="137" t="s">
        <v>531</v>
      </c>
      <c r="C89" s="138" t="s">
        <v>532</v>
      </c>
      <c r="D89" s="138" t="s">
        <v>391</v>
      </c>
      <c r="E89" s="139" t="s">
        <v>392</v>
      </c>
      <c r="F89" s="138" t="s">
        <v>402</v>
      </c>
      <c r="G89" s="186">
        <v>45007</v>
      </c>
      <c r="H89" s="142">
        <v>45273</v>
      </c>
      <c r="I89" s="140">
        <v>45017</v>
      </c>
      <c r="J89" s="140">
        <v>45352</v>
      </c>
      <c r="K89" s="94" t="s">
        <v>389</v>
      </c>
      <c r="L89" s="94" t="s">
        <v>389</v>
      </c>
      <c r="M89" s="145">
        <v>65</v>
      </c>
      <c r="N89" s="138" t="s">
        <v>389</v>
      </c>
      <c r="O89" s="144" t="s">
        <v>397</v>
      </c>
      <c r="P89" s="144" t="s">
        <v>389</v>
      </c>
      <c r="Q89" s="187" t="s">
        <v>389</v>
      </c>
      <c r="R89" s="145">
        <v>129.13</v>
      </c>
      <c r="S89" s="137" t="e">
        <v>#REF!</v>
      </c>
      <c r="T89" s="185" t="s">
        <v>389</v>
      </c>
    </row>
    <row r="90" spans="1:25" ht="16.5" customHeight="1">
      <c r="A90" s="136" t="s">
        <v>389</v>
      </c>
      <c r="B90" s="137" t="s">
        <v>533</v>
      </c>
      <c r="C90" s="138" t="s">
        <v>534</v>
      </c>
      <c r="D90" s="138" t="s">
        <v>391</v>
      </c>
      <c r="E90" s="139" t="s">
        <v>392</v>
      </c>
      <c r="F90" s="138" t="s">
        <v>402</v>
      </c>
      <c r="G90" s="186">
        <v>45432</v>
      </c>
      <c r="H90" s="142">
        <v>45463</v>
      </c>
      <c r="I90" s="138" t="s">
        <v>389</v>
      </c>
      <c r="J90" s="138" t="s">
        <v>389</v>
      </c>
      <c r="K90" s="94" t="s">
        <v>389</v>
      </c>
      <c r="L90" s="94" t="s">
        <v>389</v>
      </c>
      <c r="M90" s="145">
        <v>74.400000000000006</v>
      </c>
      <c r="N90" s="138" t="s">
        <v>389</v>
      </c>
      <c r="O90" s="144" t="s">
        <v>397</v>
      </c>
      <c r="P90" s="144" t="s">
        <v>389</v>
      </c>
      <c r="Q90" s="187" t="s">
        <v>389</v>
      </c>
      <c r="R90" s="145">
        <v>143.52000000000001</v>
      </c>
      <c r="S90" s="137" t="e">
        <v>#REF!</v>
      </c>
      <c r="T90" s="185" t="s">
        <v>389</v>
      </c>
    </row>
    <row r="91" spans="1:25" ht="16.5" customHeight="1">
      <c r="A91" s="136">
        <v>38</v>
      </c>
      <c r="B91" s="137" t="s">
        <v>535</v>
      </c>
      <c r="C91" s="138" t="s">
        <v>536</v>
      </c>
      <c r="D91" s="138" t="s">
        <v>391</v>
      </c>
      <c r="E91" s="139" t="s">
        <v>392</v>
      </c>
      <c r="F91" s="138" t="s">
        <v>402</v>
      </c>
      <c r="G91" s="186">
        <v>45007</v>
      </c>
      <c r="H91" s="142">
        <v>45441</v>
      </c>
      <c r="I91" s="140">
        <v>45017</v>
      </c>
      <c r="J91" s="140">
        <v>45352</v>
      </c>
      <c r="K91" s="94" t="s">
        <v>389</v>
      </c>
      <c r="L91" s="94" t="s">
        <v>389</v>
      </c>
      <c r="M91" s="145">
        <v>59.5</v>
      </c>
      <c r="N91" s="138" t="s">
        <v>389</v>
      </c>
      <c r="O91" s="144" t="s">
        <v>397</v>
      </c>
      <c r="P91" s="155">
        <v>164.16</v>
      </c>
      <c r="Q91" s="187" t="s">
        <v>389</v>
      </c>
      <c r="R91" s="145">
        <v>129.13</v>
      </c>
      <c r="S91" s="137" t="e">
        <v>#REF!</v>
      </c>
      <c r="T91" s="185" t="s">
        <v>389</v>
      </c>
    </row>
    <row r="92" spans="1:25" ht="16.5" customHeight="1">
      <c r="A92" s="136" t="s">
        <v>389</v>
      </c>
      <c r="B92" s="137" t="s">
        <v>537</v>
      </c>
      <c r="C92" s="138" t="s">
        <v>538</v>
      </c>
      <c r="D92" s="138" t="s">
        <v>401</v>
      </c>
      <c r="E92" s="139" t="s">
        <v>392</v>
      </c>
      <c r="F92" s="138" t="s">
        <v>402</v>
      </c>
      <c r="G92" s="186">
        <v>45432</v>
      </c>
      <c r="H92" s="142">
        <v>45461</v>
      </c>
      <c r="I92" s="138" t="s">
        <v>389</v>
      </c>
      <c r="J92" s="138" t="s">
        <v>389</v>
      </c>
      <c r="K92" s="94" t="s">
        <v>389</v>
      </c>
      <c r="L92" s="94" t="s">
        <v>389</v>
      </c>
      <c r="M92" s="145">
        <v>71.430000000000007</v>
      </c>
      <c r="N92" s="138" t="s">
        <v>389</v>
      </c>
      <c r="O92" s="144" t="s">
        <v>389</v>
      </c>
      <c r="P92" s="155">
        <v>136.24</v>
      </c>
      <c r="Q92" s="187" t="s">
        <v>389</v>
      </c>
      <c r="R92" s="137" t="s">
        <v>389</v>
      </c>
      <c r="S92" s="154">
        <v>168</v>
      </c>
      <c r="T92" s="134">
        <v>26409.599999999999</v>
      </c>
    </row>
    <row r="93" spans="1:25" ht="16.5" customHeight="1">
      <c r="A93" s="136">
        <v>47</v>
      </c>
      <c r="B93" s="137" t="s">
        <v>539</v>
      </c>
      <c r="C93" s="138" t="s">
        <v>540</v>
      </c>
      <c r="D93" s="138" t="s">
        <v>396</v>
      </c>
      <c r="E93" s="139" t="s">
        <v>392</v>
      </c>
      <c r="F93" s="138" t="s">
        <v>402</v>
      </c>
      <c r="G93" s="140">
        <v>45215</v>
      </c>
      <c r="H93" s="142">
        <v>45401</v>
      </c>
      <c r="I93" s="140">
        <v>45278</v>
      </c>
      <c r="J93" s="140">
        <v>45643</v>
      </c>
      <c r="K93" s="94" t="s">
        <v>389</v>
      </c>
      <c r="L93" s="94" t="s">
        <v>389</v>
      </c>
      <c r="M93" s="145">
        <v>68.72</v>
      </c>
      <c r="N93" s="138" t="s">
        <v>389</v>
      </c>
      <c r="O93" s="144" t="s">
        <v>397</v>
      </c>
      <c r="P93" s="144" t="s">
        <v>389</v>
      </c>
      <c r="Q93" s="187" t="s">
        <v>389</v>
      </c>
      <c r="R93" s="145">
        <v>104</v>
      </c>
      <c r="S93" s="154">
        <v>168</v>
      </c>
      <c r="T93" s="153">
        <v>34944</v>
      </c>
    </row>
    <row r="94" spans="1:25" ht="16.5" customHeight="1">
      <c r="A94" s="136">
        <v>51</v>
      </c>
      <c r="B94" s="137" t="s">
        <v>541</v>
      </c>
      <c r="C94" s="138" t="s">
        <v>542</v>
      </c>
      <c r="D94" s="138" t="s">
        <v>391</v>
      </c>
      <c r="E94" s="139" t="s">
        <v>392</v>
      </c>
      <c r="F94" s="138" t="s">
        <v>402</v>
      </c>
      <c r="G94" s="140">
        <v>43766</v>
      </c>
      <c r="H94" s="142">
        <v>45635</v>
      </c>
      <c r="I94" s="140">
        <v>45352</v>
      </c>
      <c r="J94" s="151">
        <v>45716</v>
      </c>
      <c r="K94" s="94" t="s">
        <v>389</v>
      </c>
      <c r="L94" s="94" t="s">
        <v>389</v>
      </c>
      <c r="M94" s="145">
        <v>78.069999999999993</v>
      </c>
      <c r="N94" s="155">
        <v>2834.01</v>
      </c>
      <c r="O94" s="155">
        <v>9863.99</v>
      </c>
      <c r="P94" s="138">
        <v>168</v>
      </c>
      <c r="Q94" s="155">
        <v>13115.91</v>
      </c>
      <c r="R94" s="153">
        <v>157.19999999999999</v>
      </c>
      <c r="S94" s="154">
        <v>168</v>
      </c>
      <c r="T94" s="153">
        <v>20749.68</v>
      </c>
    </row>
    <row r="95" spans="1:25" ht="16.5" customHeight="1">
      <c r="A95" s="136" t="s">
        <v>389</v>
      </c>
      <c r="B95" s="137" t="s">
        <v>543</v>
      </c>
      <c r="C95" s="138" t="s">
        <v>544</v>
      </c>
      <c r="D95" s="138" t="s">
        <v>401</v>
      </c>
      <c r="E95" s="138" t="s">
        <v>392</v>
      </c>
      <c r="F95" s="138" t="s">
        <v>402</v>
      </c>
      <c r="G95" s="186">
        <v>45561</v>
      </c>
      <c r="H95" s="142">
        <v>45666</v>
      </c>
      <c r="I95" s="138" t="s">
        <v>389</v>
      </c>
      <c r="J95" s="138" t="s">
        <v>389</v>
      </c>
      <c r="K95" s="94" t="s">
        <v>389</v>
      </c>
      <c r="L95" s="94" t="s">
        <v>389</v>
      </c>
      <c r="M95" s="145">
        <v>130.94999999999999</v>
      </c>
      <c r="N95" s="155">
        <v>2928.44</v>
      </c>
      <c r="O95" s="155">
        <v>19071.560000000001</v>
      </c>
      <c r="P95" s="138">
        <v>168</v>
      </c>
      <c r="Q95" s="155">
        <v>22000</v>
      </c>
      <c r="R95" s="153">
        <v>208</v>
      </c>
      <c r="S95" s="154">
        <v>168</v>
      </c>
      <c r="T95" s="153">
        <v>20749.68</v>
      </c>
    </row>
    <row r="96" spans="1:25" s="3" customFormat="1" ht="16.5" customHeight="1">
      <c r="A96" s="136">
        <v>51</v>
      </c>
      <c r="B96" s="137" t="s">
        <v>545</v>
      </c>
      <c r="C96" s="138" t="s">
        <v>546</v>
      </c>
      <c r="D96" s="138" t="s">
        <v>391</v>
      </c>
      <c r="E96" s="138" t="s">
        <v>392</v>
      </c>
      <c r="F96" s="138" t="s">
        <v>479</v>
      </c>
      <c r="G96" s="140">
        <v>45391</v>
      </c>
      <c r="H96" s="141" t="s">
        <v>389</v>
      </c>
      <c r="I96" s="138" t="s">
        <v>389</v>
      </c>
      <c r="J96" s="138" t="s">
        <v>389</v>
      </c>
      <c r="K96" s="94" t="s">
        <v>389</v>
      </c>
      <c r="L96" s="94" t="s">
        <v>389</v>
      </c>
      <c r="M96" s="143">
        <v>64.23</v>
      </c>
      <c r="N96" s="155">
        <v>2904.84</v>
      </c>
      <c r="O96" s="155">
        <v>7269.16</v>
      </c>
      <c r="P96" s="138">
        <v>168</v>
      </c>
      <c r="Q96" s="155">
        <v>10790</v>
      </c>
      <c r="R96" s="153">
        <v>123.51</v>
      </c>
      <c r="S96" s="138">
        <v>148</v>
      </c>
      <c r="T96" s="145">
        <v>10786.24</v>
      </c>
    </row>
    <row r="97" spans="1:23" s="3" customFormat="1" ht="16.5" customHeight="1">
      <c r="A97" s="136">
        <v>51</v>
      </c>
      <c r="B97" s="137" t="s">
        <v>547</v>
      </c>
      <c r="C97" s="138" t="s">
        <v>548</v>
      </c>
      <c r="D97" s="138" t="s">
        <v>391</v>
      </c>
      <c r="E97" s="138" t="s">
        <v>392</v>
      </c>
      <c r="F97" s="138" t="s">
        <v>479</v>
      </c>
      <c r="G97" s="186">
        <v>44837</v>
      </c>
      <c r="H97" s="141" t="s">
        <v>389</v>
      </c>
      <c r="I97" s="140">
        <v>45352</v>
      </c>
      <c r="J97" s="140">
        <v>45716</v>
      </c>
      <c r="K97" s="94" t="s">
        <v>389</v>
      </c>
      <c r="L97" s="94" t="s">
        <v>389</v>
      </c>
      <c r="M97" s="145">
        <v>50.94</v>
      </c>
      <c r="N97" s="155">
        <v>2834.01</v>
      </c>
      <c r="O97" s="155">
        <v>5306.45</v>
      </c>
      <c r="P97" s="138">
        <v>168</v>
      </c>
      <c r="Q97" s="155">
        <v>8557.59</v>
      </c>
      <c r="R97" s="153">
        <v>123.51</v>
      </c>
      <c r="S97" s="197">
        <v>168</v>
      </c>
      <c r="T97" s="193" t="s">
        <v>389</v>
      </c>
    </row>
    <row r="98" spans="1:23" s="3" customFormat="1" ht="16.5" customHeight="1">
      <c r="A98" s="136">
        <v>79</v>
      </c>
      <c r="B98" s="137" t="s">
        <v>549</v>
      </c>
      <c r="C98" s="137" t="s">
        <v>389</v>
      </c>
      <c r="D98" s="137" t="s">
        <v>389</v>
      </c>
      <c r="E98" s="138" t="s">
        <v>392</v>
      </c>
      <c r="F98" s="138" t="s">
        <v>479</v>
      </c>
      <c r="G98" s="186">
        <v>45454</v>
      </c>
      <c r="H98" s="141" t="s">
        <v>389</v>
      </c>
      <c r="I98" s="140">
        <v>45453</v>
      </c>
      <c r="J98" s="140">
        <v>45817</v>
      </c>
      <c r="K98" s="188" t="s">
        <v>389</v>
      </c>
      <c r="L98" s="188" t="s">
        <v>389</v>
      </c>
      <c r="M98" s="145">
        <v>31.55</v>
      </c>
      <c r="N98" s="155">
        <v>2857.6</v>
      </c>
      <c r="O98" s="155">
        <v>1826.4</v>
      </c>
      <c r="P98" s="138">
        <v>148</v>
      </c>
      <c r="Q98" s="155">
        <v>4669.05</v>
      </c>
      <c r="R98" s="145">
        <v>72.88</v>
      </c>
      <c r="S98" s="202" t="e">
        <v>#VALUE!</v>
      </c>
      <c r="T98" s="193" t="s">
        <v>389</v>
      </c>
    </row>
    <row r="99" spans="1:23" s="3" customFormat="1" ht="16.5" customHeight="1">
      <c r="A99" s="189">
        <v>63</v>
      </c>
      <c r="B99" s="190" t="s">
        <v>550</v>
      </c>
      <c r="C99" s="191" t="s">
        <v>81</v>
      </c>
      <c r="D99" s="157" t="s">
        <v>45</v>
      </c>
      <c r="E99" s="159" t="s">
        <v>29</v>
      </c>
      <c r="F99" s="159" t="s">
        <v>101</v>
      </c>
      <c r="G99" s="160">
        <v>44298</v>
      </c>
      <c r="H99" s="192">
        <v>45736</v>
      </c>
      <c r="I99" s="160">
        <v>45717</v>
      </c>
      <c r="J99" s="160">
        <v>46081</v>
      </c>
      <c r="K99" s="162">
        <v>124</v>
      </c>
      <c r="L99" s="193" t="s">
        <v>389</v>
      </c>
      <c r="M99" s="195">
        <v>2969.19</v>
      </c>
      <c r="N99" s="178">
        <v>9234.7900000000009</v>
      </c>
      <c r="O99" s="178">
        <v>12203.98</v>
      </c>
      <c r="P99" s="193">
        <v>168</v>
      </c>
      <c r="Q99" s="195">
        <v>231.73</v>
      </c>
      <c r="R99" s="196">
        <v>128.54</v>
      </c>
      <c r="S99" s="204" t="e">
        <v>#VALUE!</v>
      </c>
      <c r="T99" s="193" t="s">
        <v>389</v>
      </c>
    </row>
    <row r="100" spans="1:23" s="3" customFormat="1" ht="16.5" customHeight="1">
      <c r="A100" s="198">
        <v>95</v>
      </c>
      <c r="B100" s="190" t="s">
        <v>551</v>
      </c>
      <c r="C100" s="191" t="s">
        <v>552</v>
      </c>
      <c r="D100" s="157" t="s">
        <v>28</v>
      </c>
      <c r="E100" s="159" t="s">
        <v>29</v>
      </c>
      <c r="F100" s="159" t="s">
        <v>553</v>
      </c>
      <c r="G100" s="160">
        <v>45231</v>
      </c>
      <c r="H100" s="192">
        <v>45740</v>
      </c>
      <c r="I100" s="160">
        <v>45597</v>
      </c>
      <c r="J100" s="160">
        <v>45961</v>
      </c>
      <c r="K100" s="162">
        <v>4</v>
      </c>
      <c r="L100" s="200">
        <v>4746.24</v>
      </c>
      <c r="M100" s="162" t="s">
        <v>554</v>
      </c>
      <c r="N100" s="159">
        <v>168</v>
      </c>
      <c r="O100" s="162" t="s">
        <v>555</v>
      </c>
      <c r="P100" s="200">
        <v>164.16</v>
      </c>
      <c r="Q100" s="196">
        <v>60.35</v>
      </c>
      <c r="R100" s="201">
        <v>168</v>
      </c>
      <c r="S100" s="202" t="e">
        <v>#VALUE!</v>
      </c>
      <c r="T100" s="193" t="s">
        <v>389</v>
      </c>
    </row>
    <row r="101" spans="1:23" s="3" customFormat="1" ht="16.5" customHeight="1">
      <c r="A101" s="203">
        <v>67</v>
      </c>
      <c r="B101" s="204" t="s">
        <v>556</v>
      </c>
      <c r="C101" s="205" t="s">
        <v>73</v>
      </c>
      <c r="D101" s="206" t="s">
        <v>28</v>
      </c>
      <c r="E101" s="205" t="s">
        <v>29</v>
      </c>
      <c r="F101" s="157" t="s">
        <v>101</v>
      </c>
      <c r="G101" s="207">
        <v>45741</v>
      </c>
      <c r="H101" s="208">
        <v>45784</v>
      </c>
      <c r="I101" s="209">
        <v>45734</v>
      </c>
      <c r="J101" s="209">
        <v>46098</v>
      </c>
      <c r="K101" s="210">
        <v>141</v>
      </c>
      <c r="L101" s="211">
        <v>2416.9499999999998</v>
      </c>
      <c r="M101" s="211">
        <v>3083.05</v>
      </c>
      <c r="N101" s="201">
        <v>168</v>
      </c>
      <c r="O101" s="210" t="e">
        <v>#VALUE!</v>
      </c>
      <c r="P101" s="210" t="s">
        <v>389</v>
      </c>
      <c r="Q101" s="212">
        <v>66.150000000000006</v>
      </c>
      <c r="R101" s="213">
        <v>168</v>
      </c>
      <c r="S101" s="190" t="e">
        <v>#VALUE!</v>
      </c>
      <c r="T101" s="193" t="s">
        <v>389</v>
      </c>
    </row>
    <row r="102" spans="1:23" s="3" customFormat="1" ht="16.5" customHeight="1">
      <c r="A102" s="198">
        <v>65</v>
      </c>
      <c r="B102" s="202" t="s">
        <v>557</v>
      </c>
      <c r="C102" s="214" t="s">
        <v>558</v>
      </c>
      <c r="D102" s="215" t="s">
        <v>70</v>
      </c>
      <c r="E102" s="176" t="s">
        <v>29</v>
      </c>
      <c r="F102" s="159" t="s">
        <v>553</v>
      </c>
      <c r="G102" s="177">
        <v>44166</v>
      </c>
      <c r="H102" s="216">
        <v>45789</v>
      </c>
      <c r="I102" s="177">
        <v>45717</v>
      </c>
      <c r="J102" s="177">
        <v>46081</v>
      </c>
      <c r="K102" s="199">
        <v>124</v>
      </c>
      <c r="L102" s="200">
        <v>6190.44</v>
      </c>
      <c r="M102" s="199" t="s">
        <v>389</v>
      </c>
      <c r="N102" s="176">
        <v>168</v>
      </c>
      <c r="O102" s="199" t="s">
        <v>555</v>
      </c>
      <c r="P102" s="199" t="s">
        <v>389</v>
      </c>
      <c r="Q102" s="217">
        <v>90.25</v>
      </c>
      <c r="R102" s="213">
        <v>168</v>
      </c>
      <c r="S102" s="190" t="e">
        <v>#VALUE!</v>
      </c>
      <c r="T102" s="193" t="s">
        <v>389</v>
      </c>
    </row>
    <row r="103" spans="1:23" s="3" customFormat="1" ht="16.5" customHeight="1">
      <c r="A103" s="203">
        <v>61</v>
      </c>
      <c r="B103" s="159" t="s">
        <v>559</v>
      </c>
      <c r="C103" s="191" t="s">
        <v>560</v>
      </c>
      <c r="D103" s="157" t="s">
        <v>28</v>
      </c>
      <c r="E103" s="159" t="s">
        <v>29</v>
      </c>
      <c r="F103" s="159" t="s">
        <v>101</v>
      </c>
      <c r="G103" s="160">
        <v>45331</v>
      </c>
      <c r="H103" s="218">
        <v>45736</v>
      </c>
      <c r="I103" s="160">
        <v>45717</v>
      </c>
      <c r="J103" s="219">
        <v>46081</v>
      </c>
      <c r="K103" s="194">
        <v>124</v>
      </c>
      <c r="L103" s="178">
        <v>2969.19</v>
      </c>
      <c r="M103" s="162" t="e">
        <v>#VALUE!</v>
      </c>
      <c r="N103" s="159">
        <v>168</v>
      </c>
      <c r="O103" s="178">
        <v>12203.98</v>
      </c>
      <c r="P103" s="162" t="s">
        <v>389</v>
      </c>
      <c r="Q103" s="196">
        <v>157.19999999999999</v>
      </c>
      <c r="R103" s="213">
        <v>168</v>
      </c>
      <c r="S103" s="190" t="e">
        <v>#VALUE!</v>
      </c>
      <c r="T103" s="193" t="s">
        <v>389</v>
      </c>
    </row>
    <row r="104" spans="1:23" s="116" customFormat="1" ht="15.75" customHeight="1">
      <c r="A104" s="220" t="s">
        <v>389</v>
      </c>
      <c r="B104" s="159" t="s">
        <v>561</v>
      </c>
      <c r="C104" s="221" t="s">
        <v>562</v>
      </c>
      <c r="D104" s="157" t="s">
        <v>28</v>
      </c>
      <c r="E104" s="159" t="s">
        <v>563</v>
      </c>
      <c r="F104" s="159" t="s">
        <v>278</v>
      </c>
      <c r="G104" s="222">
        <v>45852</v>
      </c>
      <c r="H104" s="192">
        <v>45866</v>
      </c>
      <c r="I104" s="159" t="s">
        <v>389</v>
      </c>
      <c r="J104" s="176" t="s">
        <v>389</v>
      </c>
      <c r="K104" s="162">
        <v>-45957</v>
      </c>
      <c r="L104" s="162" t="s">
        <v>389</v>
      </c>
      <c r="M104" s="162" t="s">
        <v>389</v>
      </c>
      <c r="N104" s="159" t="s">
        <v>389</v>
      </c>
      <c r="O104" s="162" t="s">
        <v>389</v>
      </c>
      <c r="P104" s="162" t="s">
        <v>389</v>
      </c>
      <c r="Q104" s="190" t="s">
        <v>389</v>
      </c>
      <c r="R104" s="223" t="s">
        <v>389</v>
      </c>
      <c r="S104" s="180"/>
      <c r="T104" s="180"/>
    </row>
    <row r="105" spans="1:23" s="116" customFormat="1" ht="16.5" customHeight="1">
      <c r="A105" s="224">
        <v>50</v>
      </c>
      <c r="B105" s="173" t="s">
        <v>564</v>
      </c>
      <c r="C105" s="191" t="s">
        <v>565</v>
      </c>
      <c r="D105" s="157" t="s">
        <v>28</v>
      </c>
      <c r="E105" s="159" t="s">
        <v>563</v>
      </c>
      <c r="F105" s="197" t="s">
        <v>101</v>
      </c>
      <c r="G105" s="222">
        <v>45453</v>
      </c>
      <c r="H105" s="192">
        <v>45908</v>
      </c>
      <c r="I105" s="160">
        <v>45717</v>
      </c>
      <c r="J105" s="160">
        <v>46081</v>
      </c>
      <c r="K105" s="162">
        <v>124</v>
      </c>
      <c r="L105" s="178">
        <v>2742.94</v>
      </c>
      <c r="M105" s="162" t="e">
        <v>#VALUE!</v>
      </c>
      <c r="N105" s="159">
        <v>168</v>
      </c>
      <c r="O105" s="178">
        <v>16385.810000000001</v>
      </c>
      <c r="P105" s="162" t="s">
        <v>389</v>
      </c>
      <c r="Q105" s="196">
        <v>160.93</v>
      </c>
      <c r="R105" s="223">
        <v>168</v>
      </c>
      <c r="S105" s="180"/>
      <c r="T105" s="180"/>
    </row>
    <row r="106" spans="1:23" s="116" customFormat="1" ht="16.5" customHeight="1">
      <c r="A106" s="224"/>
      <c r="B106" s="173" t="s">
        <v>566</v>
      </c>
      <c r="C106" s="191" t="s">
        <v>567</v>
      </c>
      <c r="D106" s="157" t="s">
        <v>28</v>
      </c>
      <c r="E106" s="159" t="s">
        <v>563</v>
      </c>
      <c r="F106" s="197" t="s">
        <v>101</v>
      </c>
      <c r="G106" s="222">
        <v>45432</v>
      </c>
      <c r="H106" s="192">
        <v>46055</v>
      </c>
      <c r="I106" s="160"/>
      <c r="J106" s="160"/>
      <c r="K106" s="162"/>
      <c r="L106" s="178">
        <v>2984.3</v>
      </c>
      <c r="M106" s="162"/>
      <c r="N106" s="159">
        <v>168</v>
      </c>
      <c r="O106" s="178">
        <v>13857.55</v>
      </c>
      <c r="P106" s="162"/>
      <c r="Q106" s="196"/>
      <c r="R106" s="223"/>
      <c r="S106" s="180"/>
      <c r="T106" s="180"/>
    </row>
    <row r="107" spans="1:23" s="116" customFormat="1" ht="16.5" customHeight="1">
      <c r="A107" s="224"/>
      <c r="B107" s="173" t="s">
        <v>568</v>
      </c>
      <c r="C107" s="191" t="s">
        <v>569</v>
      </c>
      <c r="D107" s="157" t="s">
        <v>316</v>
      </c>
      <c r="E107" s="159" t="s">
        <v>563</v>
      </c>
      <c r="F107" s="197" t="s">
        <v>101</v>
      </c>
      <c r="G107" s="222">
        <v>46083</v>
      </c>
      <c r="H107" s="192">
        <v>46106</v>
      </c>
      <c r="I107" s="160">
        <v>46083</v>
      </c>
      <c r="J107" s="160"/>
      <c r="K107" s="162">
        <f t="shared" ref="K107" ca="1" si="9">J107-TODAY()</f>
        <v>-46114</v>
      </c>
      <c r="L107" s="178"/>
      <c r="M107" s="341">
        <v>2500</v>
      </c>
      <c r="N107" s="342">
        <v>16456</v>
      </c>
      <c r="O107" s="341">
        <v>168</v>
      </c>
      <c r="P107" s="341">
        <f t="shared" ref="P107" si="10">M107+N107+704</f>
        <v>19660</v>
      </c>
      <c r="Q107" s="196"/>
      <c r="R107" s="223"/>
      <c r="S107" s="180"/>
      <c r="T107" s="180" t="e">
        <f>Tabela2[[#This Row],[Faturamento Renovação 2025]]*Tabela2[[#This Row],[HORAS TRABALHADAS2]]</f>
        <v>#VALUE!</v>
      </c>
    </row>
    <row r="108" spans="1:23" s="3" customFormat="1">
      <c r="A108" s="299"/>
      <c r="B108" s="301"/>
      <c r="C108" s="334"/>
      <c r="D108" s="299"/>
      <c r="E108" s="335"/>
      <c r="F108" s="336"/>
      <c r="G108" s="337"/>
      <c r="H108" s="338"/>
      <c r="I108" s="339"/>
      <c r="J108" s="339"/>
      <c r="K108" s="115"/>
      <c r="L108" s="331"/>
      <c r="M108" s="331"/>
      <c r="N108" s="299"/>
      <c r="O108" s="331"/>
      <c r="P108" s="331"/>
      <c r="Q108" s="340"/>
      <c r="R108" s="340"/>
      <c r="S108" s="299"/>
      <c r="T108" s="340"/>
    </row>
    <row r="109" spans="1:23" s="3" customFormat="1">
      <c r="A109" s="299"/>
      <c r="B109" s="301"/>
      <c r="C109" s="333"/>
      <c r="D109" s="334"/>
      <c r="E109" s="299"/>
      <c r="F109" s="334"/>
      <c r="G109" s="299"/>
      <c r="H109" s="335"/>
      <c r="I109" s="336"/>
      <c r="J109" s="337"/>
      <c r="K109" s="338"/>
      <c r="L109" s="339"/>
      <c r="M109" s="339"/>
      <c r="N109" s="115"/>
      <c r="O109" s="331"/>
      <c r="P109" s="331"/>
      <c r="Q109" s="299"/>
      <c r="R109" s="331"/>
      <c r="S109" s="331"/>
      <c r="T109" s="340"/>
      <c r="U109" s="340"/>
      <c r="V109" s="299"/>
      <c r="W109" s="340"/>
    </row>
    <row r="110" spans="1:23" ht="16.5">
      <c r="A110" s="352"/>
      <c r="B110" s="352"/>
      <c r="C110" s="352"/>
      <c r="D110" s="352"/>
      <c r="E110" s="352"/>
      <c r="F110" s="352"/>
      <c r="G110" s="352"/>
      <c r="H110" s="352"/>
      <c r="I110" s="352"/>
      <c r="J110" s="352"/>
      <c r="K110" s="352"/>
      <c r="L110" s="352"/>
      <c r="M110" s="352"/>
      <c r="N110" s="352"/>
      <c r="O110" s="352"/>
      <c r="P110" s="352"/>
      <c r="Q110" s="352"/>
      <c r="R110" s="352"/>
      <c r="S110" s="120"/>
      <c r="T110" s="120"/>
    </row>
    <row r="111" spans="1:23" ht="16.5">
      <c r="A111" s="350" t="s">
        <v>570</v>
      </c>
      <c r="B111" s="351"/>
      <c r="C111" s="351"/>
      <c r="D111" s="351"/>
      <c r="E111" s="351"/>
      <c r="F111" s="351"/>
      <c r="G111" s="351"/>
      <c r="H111" s="351"/>
      <c r="I111" s="351"/>
      <c r="J111" s="351"/>
      <c r="K111" s="351"/>
      <c r="L111" s="351"/>
      <c r="M111" s="351"/>
      <c r="N111" s="351"/>
      <c r="O111" s="351"/>
      <c r="P111" s="351"/>
      <c r="Q111" s="351"/>
      <c r="R111" s="351"/>
      <c r="S111" s="137" t="e">
        <v>#REF!</v>
      </c>
      <c r="T111" s="156" t="s">
        <v>389</v>
      </c>
    </row>
    <row r="112" spans="1:23" ht="15" customHeight="1">
      <c r="A112" s="181">
        <v>35</v>
      </c>
      <c r="B112" s="225" t="s">
        <v>571</v>
      </c>
      <c r="C112" s="125" t="s">
        <v>572</v>
      </c>
      <c r="D112" s="125" t="s">
        <v>401</v>
      </c>
      <c r="E112" s="126" t="s">
        <v>392</v>
      </c>
      <c r="F112" s="125" t="s">
        <v>278</v>
      </c>
      <c r="G112" s="127">
        <v>44652</v>
      </c>
      <c r="H112" s="128">
        <v>45413</v>
      </c>
      <c r="I112" s="127">
        <v>45017</v>
      </c>
      <c r="J112" s="127">
        <v>45382</v>
      </c>
      <c r="K112" s="89" t="s">
        <v>389</v>
      </c>
      <c r="L112" s="89" t="s">
        <v>389</v>
      </c>
      <c r="M112" s="131">
        <v>145</v>
      </c>
      <c r="N112" s="125" t="s">
        <v>389</v>
      </c>
      <c r="O112" s="132" t="s">
        <v>397</v>
      </c>
      <c r="P112" s="183">
        <v>231.73</v>
      </c>
      <c r="Q112" s="89" t="s">
        <v>389</v>
      </c>
      <c r="R112" s="182">
        <v>212.16</v>
      </c>
      <c r="S112" s="138" t="e">
        <v>#REF!</v>
      </c>
      <c r="T112" s="156" t="s">
        <v>389</v>
      </c>
    </row>
    <row r="113" spans="1:21" ht="15" customHeight="1">
      <c r="A113" s="136">
        <v>35</v>
      </c>
      <c r="B113" s="156" t="s">
        <v>573</v>
      </c>
      <c r="C113" s="138" t="s">
        <v>574</v>
      </c>
      <c r="D113" s="138" t="s">
        <v>391</v>
      </c>
      <c r="E113" s="139" t="s">
        <v>392</v>
      </c>
      <c r="F113" s="138" t="s">
        <v>278</v>
      </c>
      <c r="G113" s="186">
        <v>44508</v>
      </c>
      <c r="H113" s="142">
        <v>45349</v>
      </c>
      <c r="I113" s="140">
        <v>45017</v>
      </c>
      <c r="J113" s="140">
        <v>45382</v>
      </c>
      <c r="K113" s="94" t="s">
        <v>389</v>
      </c>
      <c r="L113" s="94" t="s">
        <v>389</v>
      </c>
      <c r="M113" s="145">
        <v>105</v>
      </c>
      <c r="N113" s="138" t="s">
        <v>389</v>
      </c>
      <c r="O113" s="144" t="s">
        <v>397</v>
      </c>
      <c r="P113" s="155">
        <v>164.16</v>
      </c>
      <c r="Q113" s="94" t="s">
        <v>389</v>
      </c>
      <c r="R113" s="145">
        <v>157.08000000000001</v>
      </c>
      <c r="S113" s="138" t="e">
        <v>#REF!</v>
      </c>
      <c r="T113" s="156" t="s">
        <v>389</v>
      </c>
    </row>
    <row r="114" spans="1:21" ht="15" customHeight="1">
      <c r="A114" s="148">
        <v>49</v>
      </c>
      <c r="B114" s="156" t="s">
        <v>575</v>
      </c>
      <c r="C114" s="138" t="s">
        <v>576</v>
      </c>
      <c r="D114" s="138" t="s">
        <v>401</v>
      </c>
      <c r="E114" s="139" t="s">
        <v>392</v>
      </c>
      <c r="F114" s="138" t="s">
        <v>303</v>
      </c>
      <c r="G114" s="140">
        <v>45324</v>
      </c>
      <c r="H114" s="142">
        <v>45489</v>
      </c>
      <c r="I114" s="140">
        <v>45323</v>
      </c>
      <c r="J114" s="140">
        <v>45688</v>
      </c>
      <c r="K114" s="94" t="s">
        <v>389</v>
      </c>
      <c r="L114" s="94" t="s">
        <v>389</v>
      </c>
      <c r="M114" s="143">
        <v>111.31</v>
      </c>
      <c r="N114" s="138" t="s">
        <v>389</v>
      </c>
      <c r="O114" s="144" t="s">
        <v>397</v>
      </c>
      <c r="P114" s="144" t="s">
        <v>389</v>
      </c>
      <c r="Q114" s="94" t="s">
        <v>389</v>
      </c>
      <c r="R114" s="145">
        <v>175.76</v>
      </c>
      <c r="S114" s="137" t="e">
        <v>#REF!</v>
      </c>
      <c r="T114" s="156" t="s">
        <v>389</v>
      </c>
    </row>
    <row r="115" spans="1:21" ht="15" customHeight="1">
      <c r="A115" s="148">
        <v>72</v>
      </c>
      <c r="B115" s="138" t="s">
        <v>577</v>
      </c>
      <c r="C115" s="138" t="s">
        <v>578</v>
      </c>
      <c r="D115" s="138" t="s">
        <v>391</v>
      </c>
      <c r="E115" s="139" t="s">
        <v>392</v>
      </c>
      <c r="F115" s="138" t="s">
        <v>278</v>
      </c>
      <c r="G115" s="140">
        <v>45427</v>
      </c>
      <c r="H115" s="142">
        <v>45465</v>
      </c>
      <c r="I115" s="140">
        <v>45427</v>
      </c>
      <c r="J115" s="140">
        <v>45791</v>
      </c>
      <c r="K115" s="94" t="s">
        <v>389</v>
      </c>
      <c r="L115" s="94" t="s">
        <v>389</v>
      </c>
      <c r="M115" s="143">
        <v>100</v>
      </c>
      <c r="N115" s="138" t="s">
        <v>389</v>
      </c>
      <c r="O115" s="144" t="s">
        <v>397</v>
      </c>
      <c r="P115" s="144" t="s">
        <v>389</v>
      </c>
      <c r="Q115" s="94" t="s">
        <v>389</v>
      </c>
      <c r="R115" s="145">
        <v>157.08000000000001</v>
      </c>
      <c r="S115" s="137" t="e">
        <v>#REF!</v>
      </c>
      <c r="T115" s="156" t="s">
        <v>389</v>
      </c>
    </row>
    <row r="116" spans="1:21" ht="15" customHeight="1">
      <c r="A116" s="136">
        <v>35</v>
      </c>
      <c r="B116" s="138" t="s">
        <v>579</v>
      </c>
      <c r="C116" s="138" t="s">
        <v>580</v>
      </c>
      <c r="D116" s="138" t="s">
        <v>401</v>
      </c>
      <c r="E116" s="139" t="s">
        <v>392</v>
      </c>
      <c r="F116" s="138" t="s">
        <v>278</v>
      </c>
      <c r="G116" s="140">
        <v>44959</v>
      </c>
      <c r="H116" s="149">
        <v>45170</v>
      </c>
      <c r="I116" s="138" t="s">
        <v>389</v>
      </c>
      <c r="J116" s="138" t="s">
        <v>389</v>
      </c>
      <c r="K116" s="94" t="s">
        <v>389</v>
      </c>
      <c r="L116" s="94" t="s">
        <v>389</v>
      </c>
      <c r="M116" s="143">
        <v>119.04</v>
      </c>
      <c r="N116" s="138" t="s">
        <v>389</v>
      </c>
      <c r="O116" s="144" t="s">
        <v>397</v>
      </c>
      <c r="P116" s="144" t="s">
        <v>389</v>
      </c>
      <c r="Q116" s="94" t="s">
        <v>389</v>
      </c>
      <c r="R116" s="145">
        <v>160.16</v>
      </c>
      <c r="S116" s="137" t="s">
        <v>397</v>
      </c>
      <c r="T116" s="138" t="s">
        <v>389</v>
      </c>
    </row>
    <row r="117" spans="1:21" ht="15" customHeight="1">
      <c r="A117" s="136">
        <v>35</v>
      </c>
      <c r="B117" s="138" t="s">
        <v>581</v>
      </c>
      <c r="C117" s="138" t="s">
        <v>582</v>
      </c>
      <c r="D117" s="138" t="s">
        <v>396</v>
      </c>
      <c r="E117" s="139" t="s">
        <v>392</v>
      </c>
      <c r="F117" s="138" t="s">
        <v>278</v>
      </c>
      <c r="G117" s="140">
        <v>44487</v>
      </c>
      <c r="H117" s="149">
        <v>45331</v>
      </c>
      <c r="I117" s="140">
        <v>45017</v>
      </c>
      <c r="J117" s="140">
        <v>45382</v>
      </c>
      <c r="K117" s="94" t="s">
        <v>389</v>
      </c>
      <c r="L117" s="94" t="s">
        <v>389</v>
      </c>
      <c r="M117" s="143">
        <v>73.44</v>
      </c>
      <c r="N117" s="138" t="s">
        <v>389</v>
      </c>
      <c r="O117" s="144" t="s">
        <v>397</v>
      </c>
      <c r="P117" s="155">
        <v>380</v>
      </c>
      <c r="Q117" s="94" t="s">
        <v>389</v>
      </c>
      <c r="R117" s="226">
        <v>133.62</v>
      </c>
      <c r="S117" s="154">
        <v>168</v>
      </c>
      <c r="T117" s="227">
        <v>32615.52</v>
      </c>
    </row>
    <row r="118" spans="1:21" ht="15" customHeight="1">
      <c r="A118" s="148">
        <v>66</v>
      </c>
      <c r="B118" s="138" t="s">
        <v>583</v>
      </c>
      <c r="C118" s="138" t="s">
        <v>584</v>
      </c>
      <c r="D118" s="138" t="s">
        <v>391</v>
      </c>
      <c r="E118" s="139" t="s">
        <v>392</v>
      </c>
      <c r="F118" s="138" t="s">
        <v>278</v>
      </c>
      <c r="G118" s="140">
        <v>45383</v>
      </c>
      <c r="H118" s="149">
        <v>45552</v>
      </c>
      <c r="I118" s="140">
        <v>45383</v>
      </c>
      <c r="J118" s="140">
        <v>45382</v>
      </c>
      <c r="K118" s="94" t="s">
        <v>389</v>
      </c>
      <c r="L118" s="94" t="s">
        <v>389</v>
      </c>
      <c r="M118" s="143">
        <v>100</v>
      </c>
      <c r="N118" s="138" t="s">
        <v>389</v>
      </c>
      <c r="O118" s="144" t="s">
        <v>397</v>
      </c>
      <c r="P118" s="144" t="s">
        <v>389</v>
      </c>
      <c r="Q118" s="137" t="s">
        <v>389</v>
      </c>
      <c r="R118" s="138" t="s">
        <v>389</v>
      </c>
      <c r="S118" s="139" t="s">
        <v>389</v>
      </c>
      <c r="T118" s="139" t="s">
        <v>389</v>
      </c>
    </row>
    <row r="119" spans="1:21" ht="15" customHeight="1">
      <c r="A119" s="148">
        <v>27</v>
      </c>
      <c r="B119" s="156" t="s">
        <v>585</v>
      </c>
      <c r="C119" s="138" t="s">
        <v>428</v>
      </c>
      <c r="D119" s="138" t="s">
        <v>401</v>
      </c>
      <c r="E119" s="139" t="s">
        <v>392</v>
      </c>
      <c r="F119" s="138" t="s">
        <v>278</v>
      </c>
      <c r="G119" s="140">
        <v>44993</v>
      </c>
      <c r="H119" s="149">
        <v>45607</v>
      </c>
      <c r="I119" s="140">
        <v>45366</v>
      </c>
      <c r="J119" s="140">
        <v>45730</v>
      </c>
      <c r="K119" s="94" t="s">
        <v>389</v>
      </c>
      <c r="L119" s="94" t="s">
        <v>389</v>
      </c>
      <c r="M119" s="143">
        <v>122.5</v>
      </c>
      <c r="N119" s="138" t="s">
        <v>389</v>
      </c>
      <c r="O119" s="138" t="s">
        <v>389</v>
      </c>
      <c r="P119" s="138">
        <v>168</v>
      </c>
      <c r="Q119" s="155">
        <v>20580</v>
      </c>
      <c r="R119" s="153">
        <v>194.14</v>
      </c>
      <c r="S119" s="154">
        <v>168</v>
      </c>
      <c r="T119" s="227">
        <v>35642.879999999997</v>
      </c>
    </row>
    <row r="120" spans="1:21" ht="15" customHeight="1">
      <c r="A120" s="148">
        <v>42</v>
      </c>
      <c r="B120" s="156" t="s">
        <v>586</v>
      </c>
      <c r="C120" s="138" t="s">
        <v>587</v>
      </c>
      <c r="D120" s="139" t="s">
        <v>389</v>
      </c>
      <c r="E120" s="139" t="s">
        <v>392</v>
      </c>
      <c r="F120" s="138" t="s">
        <v>278</v>
      </c>
      <c r="G120" s="140">
        <v>45096</v>
      </c>
      <c r="H120" s="149" t="s">
        <v>389</v>
      </c>
      <c r="I120" s="140">
        <v>45096</v>
      </c>
      <c r="J120" s="140">
        <v>45291</v>
      </c>
      <c r="K120" s="94" t="s">
        <v>389</v>
      </c>
      <c r="L120" s="94" t="s">
        <v>389</v>
      </c>
      <c r="M120" s="143">
        <v>450</v>
      </c>
      <c r="N120" s="138">
        <v>168</v>
      </c>
      <c r="O120" s="155">
        <v>75600</v>
      </c>
      <c r="P120" s="144" t="s">
        <v>389</v>
      </c>
      <c r="Q120" s="145">
        <v>687.5</v>
      </c>
      <c r="R120" s="137" t="e">
        <v>#REF!</v>
      </c>
      <c r="S120" s="154">
        <v>168</v>
      </c>
      <c r="T120" s="227">
        <v>35642.879999999997</v>
      </c>
    </row>
    <row r="121" spans="1:21" ht="15" customHeight="1">
      <c r="A121" s="148">
        <v>34</v>
      </c>
      <c r="B121" s="156" t="s">
        <v>588</v>
      </c>
      <c r="C121" s="138" t="s">
        <v>589</v>
      </c>
      <c r="D121" s="138" t="s">
        <v>401</v>
      </c>
      <c r="E121" s="139" t="s">
        <v>392</v>
      </c>
      <c r="F121" s="138" t="s">
        <v>278</v>
      </c>
      <c r="G121" s="140">
        <v>44718</v>
      </c>
      <c r="H121" s="149">
        <v>45628</v>
      </c>
      <c r="I121" s="140">
        <v>45078</v>
      </c>
      <c r="J121" s="140">
        <v>45443</v>
      </c>
      <c r="K121" s="94" t="s">
        <v>389</v>
      </c>
      <c r="L121" s="94" t="s">
        <v>389</v>
      </c>
      <c r="M121" s="143">
        <v>136</v>
      </c>
      <c r="N121" s="138" t="s">
        <v>389</v>
      </c>
      <c r="O121" s="138" t="s">
        <v>389</v>
      </c>
      <c r="P121" s="138">
        <v>168</v>
      </c>
      <c r="Q121" s="155">
        <v>22848</v>
      </c>
      <c r="R121" s="153">
        <v>212.16</v>
      </c>
      <c r="S121" s="154">
        <v>168</v>
      </c>
      <c r="T121" s="227">
        <v>27036.240000000002</v>
      </c>
    </row>
    <row r="122" spans="1:21" ht="15" customHeight="1">
      <c r="A122" s="148">
        <v>88</v>
      </c>
      <c r="B122" s="138" t="s">
        <v>590</v>
      </c>
      <c r="C122" s="138" t="s">
        <v>591</v>
      </c>
      <c r="D122" s="138" t="s">
        <v>592</v>
      </c>
      <c r="E122" s="139" t="s">
        <v>392</v>
      </c>
      <c r="F122" s="138" t="s">
        <v>303</v>
      </c>
      <c r="G122" s="140">
        <v>45537</v>
      </c>
      <c r="H122" s="149">
        <v>45623</v>
      </c>
      <c r="I122" s="140">
        <v>45505</v>
      </c>
      <c r="J122" s="140">
        <v>45504</v>
      </c>
      <c r="K122" s="94" t="s">
        <v>389</v>
      </c>
      <c r="L122" s="94" t="s">
        <v>389</v>
      </c>
      <c r="M122" s="143">
        <v>110</v>
      </c>
      <c r="N122" s="138" t="s">
        <v>389</v>
      </c>
      <c r="O122" s="138" t="s">
        <v>389</v>
      </c>
      <c r="P122" s="138">
        <v>168</v>
      </c>
      <c r="Q122" s="155">
        <v>18480</v>
      </c>
      <c r="R122" s="153">
        <v>212.16</v>
      </c>
      <c r="S122" s="154">
        <v>168</v>
      </c>
      <c r="T122" s="227">
        <v>26906.880000000001</v>
      </c>
    </row>
    <row r="123" spans="1:21" ht="15" customHeight="1">
      <c r="A123" s="148">
        <v>45</v>
      </c>
      <c r="B123" s="138" t="s">
        <v>593</v>
      </c>
      <c r="C123" s="138" t="s">
        <v>594</v>
      </c>
      <c r="D123" s="138" t="s">
        <v>391</v>
      </c>
      <c r="E123" s="139" t="s">
        <v>392</v>
      </c>
      <c r="F123" s="138" t="s">
        <v>303</v>
      </c>
      <c r="G123" s="140">
        <v>45565</v>
      </c>
      <c r="H123" s="149">
        <v>45716</v>
      </c>
      <c r="I123" s="140">
        <v>45748</v>
      </c>
      <c r="J123" s="140">
        <v>46112</v>
      </c>
      <c r="K123" s="94" t="s">
        <v>389</v>
      </c>
      <c r="L123" s="94" t="s">
        <v>389</v>
      </c>
      <c r="M123" s="143">
        <v>115</v>
      </c>
      <c r="N123" s="138" t="s">
        <v>389</v>
      </c>
      <c r="O123" s="138" t="s">
        <v>389</v>
      </c>
      <c r="P123" s="138">
        <v>168</v>
      </c>
      <c r="Q123" s="155">
        <v>19320</v>
      </c>
      <c r="R123" s="153">
        <v>160.93</v>
      </c>
      <c r="S123" s="167">
        <v>168</v>
      </c>
      <c r="T123" s="231">
        <v>28440.720000000001</v>
      </c>
    </row>
    <row r="124" spans="1:21" ht="15" customHeight="1">
      <c r="A124" s="148">
        <v>82</v>
      </c>
      <c r="B124" s="228" t="s">
        <v>595</v>
      </c>
      <c r="C124" s="138" t="s">
        <v>576</v>
      </c>
      <c r="D124" s="138" t="s">
        <v>391</v>
      </c>
      <c r="E124" s="139" t="s">
        <v>392</v>
      </c>
      <c r="F124" s="138" t="s">
        <v>278</v>
      </c>
      <c r="G124" s="140">
        <v>44781</v>
      </c>
      <c r="H124" s="149">
        <v>45716</v>
      </c>
      <c r="I124" s="140">
        <v>45512</v>
      </c>
      <c r="J124" s="140">
        <v>45876</v>
      </c>
      <c r="K124" s="94" t="s">
        <v>389</v>
      </c>
      <c r="L124" s="94" t="s">
        <v>389</v>
      </c>
      <c r="M124" s="143">
        <v>92</v>
      </c>
      <c r="N124" s="138" t="s">
        <v>389</v>
      </c>
      <c r="O124" s="138" t="s">
        <v>389</v>
      </c>
      <c r="P124" s="138">
        <v>168</v>
      </c>
      <c r="Q124" s="155">
        <v>15456</v>
      </c>
      <c r="R124" s="153">
        <v>160.16</v>
      </c>
      <c r="S124" s="154">
        <v>168</v>
      </c>
      <c r="T124" s="227">
        <v>28440.720000000001</v>
      </c>
    </row>
    <row r="125" spans="1:21" ht="15" customHeight="1">
      <c r="A125" s="173">
        <v>55</v>
      </c>
      <c r="B125" s="162" t="s">
        <v>596</v>
      </c>
      <c r="C125" s="159" t="s">
        <v>105</v>
      </c>
      <c r="D125" s="159" t="s">
        <v>28</v>
      </c>
      <c r="E125" s="159" t="s">
        <v>100</v>
      </c>
      <c r="F125" s="159" t="s">
        <v>303</v>
      </c>
      <c r="G125" s="160">
        <v>45369</v>
      </c>
      <c r="H125" s="149">
        <v>45789</v>
      </c>
      <c r="I125" s="160">
        <v>45741</v>
      </c>
      <c r="J125" s="229">
        <v>46105</v>
      </c>
      <c r="K125" s="162">
        <v>148</v>
      </c>
      <c r="L125" s="230">
        <v>90</v>
      </c>
      <c r="M125" s="159" t="s">
        <v>389</v>
      </c>
      <c r="N125" s="159" t="s">
        <v>389</v>
      </c>
      <c r="O125" s="159">
        <v>168</v>
      </c>
      <c r="P125" s="162" t="e">
        <v>#VALUE!</v>
      </c>
      <c r="Q125" s="162" t="s">
        <v>389</v>
      </c>
      <c r="R125" s="166">
        <v>169.29</v>
      </c>
      <c r="S125" s="167">
        <v>168</v>
      </c>
      <c r="T125" s="167" t="e">
        <v>#VALUE!</v>
      </c>
    </row>
    <row r="126" spans="1:21" ht="15" customHeight="1">
      <c r="A126" s="148">
        <v>71</v>
      </c>
      <c r="B126" s="228" t="s">
        <v>597</v>
      </c>
      <c r="C126" s="138" t="s">
        <v>105</v>
      </c>
      <c r="D126" s="138" t="s">
        <v>28</v>
      </c>
      <c r="E126" s="139" t="s">
        <v>392</v>
      </c>
      <c r="F126" s="138" t="s">
        <v>101</v>
      </c>
      <c r="G126" s="140">
        <v>45761</v>
      </c>
      <c r="H126" s="149">
        <v>45884</v>
      </c>
      <c r="I126" s="140">
        <v>45748</v>
      </c>
      <c r="J126" s="140">
        <v>46112</v>
      </c>
      <c r="K126" s="94">
        <v>155</v>
      </c>
      <c r="L126" s="94" t="s">
        <v>389</v>
      </c>
      <c r="M126" s="143">
        <v>2668.68</v>
      </c>
      <c r="N126" s="138">
        <v>12831.32</v>
      </c>
      <c r="O126" s="138">
        <v>168</v>
      </c>
      <c r="P126" s="138" t="e">
        <v>#VALUE!</v>
      </c>
      <c r="Q126" s="144" t="e">
        <v>#VALUE!</v>
      </c>
      <c r="R126" s="153">
        <v>169.29</v>
      </c>
      <c r="S126" s="167">
        <v>168</v>
      </c>
      <c r="T126" s="167" t="e">
        <v>#VALUE!</v>
      </c>
    </row>
    <row r="127" spans="1:21" ht="15" customHeight="1">
      <c r="A127" s="232">
        <v>54</v>
      </c>
      <c r="B127" s="194" t="s">
        <v>598</v>
      </c>
      <c r="C127" s="158" t="s">
        <v>277</v>
      </c>
      <c r="D127" s="197" t="s">
        <v>28</v>
      </c>
      <c r="E127" s="159" t="s">
        <v>563</v>
      </c>
      <c r="F127" s="159" t="s">
        <v>278</v>
      </c>
      <c r="G127" s="160">
        <v>44718</v>
      </c>
      <c r="H127" s="149">
        <v>45862</v>
      </c>
      <c r="I127" s="160">
        <v>45748</v>
      </c>
      <c r="J127" s="160">
        <v>46112</v>
      </c>
      <c r="K127" s="162">
        <v>155</v>
      </c>
      <c r="L127" s="230">
        <v>94</v>
      </c>
      <c r="M127" s="159" t="s">
        <v>389</v>
      </c>
      <c r="N127" s="159" t="s">
        <v>389</v>
      </c>
      <c r="O127" s="159">
        <v>168</v>
      </c>
      <c r="P127" s="162" t="e">
        <v>#VALUE!</v>
      </c>
      <c r="Q127" s="178">
        <v>175.72</v>
      </c>
      <c r="R127" s="166">
        <v>159.38999999999999</v>
      </c>
      <c r="S127" s="166">
        <v>179.45</v>
      </c>
      <c r="T127" s="167">
        <v>168</v>
      </c>
    </row>
    <row r="128" spans="1:21" ht="15" customHeight="1">
      <c r="A128" s="173">
        <v>47</v>
      </c>
      <c r="B128" s="162" t="s">
        <v>599</v>
      </c>
      <c r="C128" s="233" t="s">
        <v>600</v>
      </c>
      <c r="D128" s="176" t="s">
        <v>28</v>
      </c>
      <c r="E128" s="234" t="s">
        <v>563</v>
      </c>
      <c r="F128" s="159" t="s">
        <v>278</v>
      </c>
      <c r="G128" s="160">
        <v>44613</v>
      </c>
      <c r="H128" s="149">
        <v>45821</v>
      </c>
      <c r="I128" s="160">
        <v>45352</v>
      </c>
      <c r="J128" s="235">
        <v>46081</v>
      </c>
      <c r="K128" s="194">
        <v>124</v>
      </c>
      <c r="L128" s="230">
        <v>127</v>
      </c>
      <c r="M128" s="159" t="s">
        <v>389</v>
      </c>
      <c r="N128" s="159" t="s">
        <v>389</v>
      </c>
      <c r="O128" s="159">
        <v>168</v>
      </c>
      <c r="P128" s="162" t="e">
        <v>#VALUE!</v>
      </c>
      <c r="Q128" s="178">
        <v>232.73</v>
      </c>
      <c r="R128" s="166">
        <v>187.59</v>
      </c>
      <c r="S128" s="238" t="s">
        <v>389</v>
      </c>
      <c r="T128" s="238" t="s">
        <v>389</v>
      </c>
      <c r="U128" s="29" t="e">
        <f>Tabela2[[#This Row],[R$TAXA FATURAMENTO]]*168</f>
        <v>#VALUE!</v>
      </c>
    </row>
    <row r="129" spans="1:21" s="62" customFormat="1" ht="15" customHeight="1">
      <c r="A129" s="232">
        <v>48</v>
      </c>
      <c r="B129" s="157" t="s">
        <v>601</v>
      </c>
      <c r="C129" s="236" t="s">
        <v>602</v>
      </c>
      <c r="D129" s="159" t="s">
        <v>61</v>
      </c>
      <c r="E129" s="159" t="s">
        <v>29</v>
      </c>
      <c r="F129" s="159" t="s">
        <v>278</v>
      </c>
      <c r="G129" s="160">
        <v>45019</v>
      </c>
      <c r="H129" s="149">
        <v>45930</v>
      </c>
      <c r="I129" s="160">
        <v>45750</v>
      </c>
      <c r="J129" s="160">
        <v>46114</v>
      </c>
      <c r="K129" s="162">
        <v>171</v>
      </c>
      <c r="L129" s="230">
        <v>20000</v>
      </c>
      <c r="M129" s="159" t="s">
        <v>389</v>
      </c>
      <c r="N129" s="159" t="s">
        <v>389</v>
      </c>
      <c r="O129" s="159">
        <v>1</v>
      </c>
      <c r="P129" s="162" t="s">
        <v>488</v>
      </c>
      <c r="Q129" s="178">
        <v>1414.61</v>
      </c>
      <c r="R129" s="166">
        <v>176.61</v>
      </c>
      <c r="S129" s="185"/>
      <c r="T129" s="185"/>
    </row>
    <row r="130" spans="1:21" s="62" customFormat="1" ht="15" customHeight="1">
      <c r="A130" s="232" t="s">
        <v>389</v>
      </c>
      <c r="B130" s="71" t="s">
        <v>603</v>
      </c>
      <c r="C130" s="34" t="s">
        <v>105</v>
      </c>
      <c r="D130" s="35" t="s">
        <v>28</v>
      </c>
      <c r="E130" s="23" t="s">
        <v>29</v>
      </c>
      <c r="F130" s="23" t="s">
        <v>101</v>
      </c>
      <c r="G130" s="160">
        <v>45908</v>
      </c>
      <c r="H130" s="149">
        <v>45957</v>
      </c>
      <c r="I130" s="102"/>
      <c r="J130" s="102"/>
      <c r="K130" s="58">
        <f ca="1">J130-TODAY()</f>
        <v>-46114</v>
      </c>
      <c r="L130" s="26"/>
      <c r="M130" s="57">
        <v>2352.09</v>
      </c>
      <c r="N130" s="26">
        <v>12107.91</v>
      </c>
      <c r="O130" s="23"/>
      <c r="P130" s="26" t="e">
        <f>Tabela2[[#This Row],[VALOR CLT]]*Tabela2[[#This Row],[HORAS TRABALHADAS]]</f>
        <v>#VALUE!</v>
      </c>
      <c r="Q130" s="26"/>
      <c r="R130" s="27">
        <v>169.29</v>
      </c>
      <c r="S130" s="27">
        <v>179.45</v>
      </c>
      <c r="T130" s="28"/>
      <c r="U130" s="29" t="e">
        <v>#VALUE!</v>
      </c>
    </row>
    <row r="131" spans="1:21" s="62" customFormat="1" ht="15" customHeight="1">
      <c r="A131" s="232">
        <v>86</v>
      </c>
      <c r="B131" s="71" t="s">
        <v>604</v>
      </c>
      <c r="C131" s="34" t="s">
        <v>605</v>
      </c>
      <c r="D131" s="35" t="s">
        <v>61</v>
      </c>
      <c r="E131" s="23" t="s">
        <v>392</v>
      </c>
      <c r="F131" s="23" t="s">
        <v>278</v>
      </c>
      <c r="G131" s="160">
        <v>44928</v>
      </c>
      <c r="H131" s="149">
        <v>45982</v>
      </c>
      <c r="I131" s="102">
        <v>45870</v>
      </c>
      <c r="J131" s="102">
        <v>46234</v>
      </c>
      <c r="K131" s="58">
        <f ca="1">J131-TODAY()</f>
        <v>120</v>
      </c>
      <c r="L131" s="26">
        <v>125</v>
      </c>
      <c r="M131" s="57"/>
      <c r="N131" s="26"/>
      <c r="O131" s="23">
        <v>168</v>
      </c>
      <c r="P131" s="26" t="e">
        <f>Tabela2[[#This Row],[VALOR HORA]]*Tabela2[[#This Row],[HORAS TRABALHADAS]]</f>
        <v>#VALUE!</v>
      </c>
      <c r="Q131" s="26">
        <v>175.72</v>
      </c>
      <c r="R131" s="27">
        <v>236.17</v>
      </c>
      <c r="S131" s="27">
        <v>250.34</v>
      </c>
      <c r="T131" s="28">
        <v>39676.559999999998</v>
      </c>
      <c r="U131" s="29"/>
    </row>
    <row r="132" spans="1:21" s="62" customFormat="1" ht="15" customHeight="1">
      <c r="A132" s="232">
        <v>44</v>
      </c>
      <c r="B132" s="71" t="s">
        <v>606</v>
      </c>
      <c r="C132" s="34" t="s">
        <v>607</v>
      </c>
      <c r="D132" s="35" t="s">
        <v>28</v>
      </c>
      <c r="E132" s="23" t="s">
        <v>392</v>
      </c>
      <c r="F132" s="23" t="s">
        <v>278</v>
      </c>
      <c r="G132" s="160">
        <v>45694</v>
      </c>
      <c r="H132" s="149">
        <v>46003</v>
      </c>
      <c r="I132" s="102">
        <v>45689</v>
      </c>
      <c r="J132" s="102">
        <v>46053</v>
      </c>
      <c r="K132" s="58">
        <f ca="1">J132-TODAY()</f>
        <v>-61</v>
      </c>
      <c r="L132" s="26">
        <v>96</v>
      </c>
      <c r="M132" s="57"/>
      <c r="N132" s="26"/>
      <c r="O132" s="23">
        <v>168</v>
      </c>
      <c r="P132" s="26" t="e">
        <f>Tabela2[[#This Row],[VALOR HORA]]*Tabela2[[#This Row],[HORAS TRABALHADAS]]</f>
        <v>#VALUE!</v>
      </c>
      <c r="Q132" s="26">
        <v>380</v>
      </c>
      <c r="R132" s="27">
        <v>144.21</v>
      </c>
      <c r="S132" s="27">
        <v>152.86000000000001</v>
      </c>
      <c r="T132" s="28">
        <v>168</v>
      </c>
      <c r="U132" s="29" t="e">
        <f>Tabela2[[#This Row],[R$TAXA FATURAMENTO]]*168</f>
        <v>#VALUE!</v>
      </c>
    </row>
    <row r="133" spans="1:21" s="62" customFormat="1" ht="15" customHeight="1">
      <c r="A133" s="232">
        <v>79</v>
      </c>
      <c r="B133" s="71" t="s">
        <v>608</v>
      </c>
      <c r="C133" s="34" t="s">
        <v>277</v>
      </c>
      <c r="D133" s="35" t="s">
        <v>45</v>
      </c>
      <c r="E133" s="23" t="s">
        <v>392</v>
      </c>
      <c r="F133" s="23" t="s">
        <v>609</v>
      </c>
      <c r="G133" s="160">
        <v>45712</v>
      </c>
      <c r="H133" s="149">
        <v>46003</v>
      </c>
      <c r="I133" s="102">
        <v>45809</v>
      </c>
      <c r="J133" s="102">
        <v>46173</v>
      </c>
      <c r="K133" s="58">
        <v>170</v>
      </c>
      <c r="L133" s="26"/>
      <c r="M133" s="57">
        <v>5950</v>
      </c>
      <c r="N133" s="26"/>
      <c r="O133" s="23">
        <v>168</v>
      </c>
      <c r="P133" s="26">
        <v>5950</v>
      </c>
      <c r="Q133" s="26">
        <v>1514.61</v>
      </c>
      <c r="R133" s="27">
        <v>135.59</v>
      </c>
      <c r="S133" s="27">
        <v>143.72999999999999</v>
      </c>
      <c r="T133" s="28">
        <v>168</v>
      </c>
      <c r="U133" s="29">
        <v>22779.119999999999</v>
      </c>
    </row>
    <row r="134" spans="1:21" s="62" customFormat="1" ht="15" customHeight="1">
      <c r="A134" s="232">
        <v>78</v>
      </c>
      <c r="B134" s="71" t="s">
        <v>610</v>
      </c>
      <c r="C134" s="34" t="s">
        <v>611</v>
      </c>
      <c r="D134" s="35" t="s">
        <v>61</v>
      </c>
      <c r="E134" s="23" t="s">
        <v>392</v>
      </c>
      <c r="F134" s="23" t="s">
        <v>303</v>
      </c>
      <c r="G134" s="160">
        <v>45593</v>
      </c>
      <c r="H134" s="149">
        <v>46003</v>
      </c>
      <c r="I134" s="102">
        <v>45809</v>
      </c>
      <c r="J134" s="102">
        <v>46173</v>
      </c>
      <c r="K134" s="58">
        <v>170</v>
      </c>
      <c r="L134" s="26">
        <v>105</v>
      </c>
      <c r="M134" s="57"/>
      <c r="N134" s="26"/>
      <c r="O134" s="23">
        <v>168</v>
      </c>
      <c r="P134" s="26">
        <v>17640</v>
      </c>
      <c r="Q134" s="26"/>
      <c r="R134" s="27">
        <v>176.87</v>
      </c>
      <c r="S134" s="27">
        <v>187.48</v>
      </c>
      <c r="T134" s="28">
        <v>168</v>
      </c>
      <c r="U134" s="29">
        <v>29714.16</v>
      </c>
    </row>
    <row r="135" spans="1:21" s="62" customFormat="1" ht="15" customHeight="1">
      <c r="A135" s="232">
        <v>54</v>
      </c>
      <c r="B135" s="71" t="s">
        <v>612</v>
      </c>
      <c r="C135" s="34" t="s">
        <v>277</v>
      </c>
      <c r="D135" s="35" t="s">
        <v>613</v>
      </c>
      <c r="E135" s="23" t="s">
        <v>392</v>
      </c>
      <c r="F135" s="23" t="s">
        <v>101</v>
      </c>
      <c r="G135" s="160">
        <v>45642</v>
      </c>
      <c r="H135" s="149">
        <v>46003</v>
      </c>
      <c r="I135" s="102">
        <v>45748</v>
      </c>
      <c r="J135" s="102">
        <v>46112</v>
      </c>
      <c r="K135" s="58">
        <v>109</v>
      </c>
      <c r="L135" s="26">
        <v>131.85</v>
      </c>
      <c r="M135" s="57">
        <v>2352.09</v>
      </c>
      <c r="N135" s="26">
        <v>19139</v>
      </c>
      <c r="O135" s="23">
        <v>168</v>
      </c>
      <c r="P135" s="26">
        <v>22151.09</v>
      </c>
      <c r="Q135" s="26"/>
      <c r="R135" s="27">
        <v>212.16</v>
      </c>
      <c r="S135" s="27">
        <v>224.89</v>
      </c>
      <c r="T135" s="28">
        <v>168</v>
      </c>
      <c r="U135" s="29">
        <v>35642.879999999997</v>
      </c>
    </row>
    <row r="136" spans="1:21" s="62" customFormat="1" ht="15" customHeight="1">
      <c r="A136" s="232">
        <v>148</v>
      </c>
      <c r="B136" s="71" t="s">
        <v>614</v>
      </c>
      <c r="C136" s="34" t="s">
        <v>615</v>
      </c>
      <c r="D136" s="35" t="s">
        <v>28</v>
      </c>
      <c r="E136" s="23" t="s">
        <v>392</v>
      </c>
      <c r="F136" s="23" t="s">
        <v>101</v>
      </c>
      <c r="G136" s="160">
        <v>45882</v>
      </c>
      <c r="H136" s="149">
        <v>46003</v>
      </c>
      <c r="I136" s="102">
        <v>45962</v>
      </c>
      <c r="J136" s="102">
        <v>46287</v>
      </c>
      <c r="K136" s="58">
        <v>284</v>
      </c>
      <c r="L136" s="26"/>
      <c r="M136" s="57">
        <v>2352.09</v>
      </c>
      <c r="N136" s="26">
        <v>12107.91</v>
      </c>
      <c r="O136" s="23">
        <v>168</v>
      </c>
      <c r="P136" s="26">
        <v>395151.12</v>
      </c>
      <c r="Q136" s="26"/>
      <c r="R136" s="27">
        <v>169.29</v>
      </c>
      <c r="S136" s="27">
        <v>152.86000000000001</v>
      </c>
      <c r="T136" s="28">
        <v>168</v>
      </c>
      <c r="U136" s="29">
        <v>28440.719999999998</v>
      </c>
    </row>
    <row r="137" spans="1:21" s="62" customFormat="1" ht="15" customHeight="1">
      <c r="A137" s="232">
        <v>94</v>
      </c>
      <c r="B137" s="71" t="s">
        <v>616</v>
      </c>
      <c r="C137" s="34" t="s">
        <v>600</v>
      </c>
      <c r="D137" s="35" t="s">
        <v>61</v>
      </c>
      <c r="E137" s="23" t="s">
        <v>392</v>
      </c>
      <c r="F137" s="23" t="s">
        <v>101</v>
      </c>
      <c r="G137" s="160">
        <v>45866</v>
      </c>
      <c r="H137" s="149">
        <v>46003</v>
      </c>
      <c r="I137" s="102">
        <v>45839</v>
      </c>
      <c r="J137" s="102">
        <v>46203</v>
      </c>
      <c r="K137" s="58">
        <v>200</v>
      </c>
      <c r="L137" s="26"/>
      <c r="M137" s="57">
        <v>2352.09</v>
      </c>
      <c r="N137" s="26">
        <v>13787.91</v>
      </c>
      <c r="O137" s="23"/>
      <c r="P137" s="26">
        <v>0</v>
      </c>
      <c r="Q137" s="26"/>
      <c r="R137" s="27">
        <v>209</v>
      </c>
      <c r="S137" s="27">
        <v>221.54</v>
      </c>
      <c r="T137" s="28">
        <v>168</v>
      </c>
      <c r="U137" s="29">
        <v>35112</v>
      </c>
    </row>
    <row r="138" spans="1:21" s="62" customFormat="1" ht="15" customHeight="1">
      <c r="A138" s="232">
        <v>53</v>
      </c>
      <c r="B138" s="71" t="s">
        <v>617</v>
      </c>
      <c r="C138" s="34" t="s">
        <v>286</v>
      </c>
      <c r="D138" s="35" t="s">
        <v>28</v>
      </c>
      <c r="E138" s="23" t="s">
        <v>392</v>
      </c>
      <c r="F138" s="23" t="s">
        <v>278</v>
      </c>
      <c r="G138" s="160">
        <v>45427</v>
      </c>
      <c r="H138" s="149">
        <v>46113</v>
      </c>
      <c r="I138" s="102">
        <v>45748</v>
      </c>
      <c r="J138" s="102">
        <v>46112</v>
      </c>
      <c r="K138" s="58">
        <f t="shared" ref="K138" ca="1" si="11">J138-TODAY()</f>
        <v>-2</v>
      </c>
      <c r="L138" s="26">
        <v>114.4</v>
      </c>
      <c r="M138" s="57"/>
      <c r="N138" s="26"/>
      <c r="O138" s="23">
        <v>168</v>
      </c>
      <c r="P138" s="26" t="e">
        <f>Tabela2[[#This Row],[VALOR HORA]]*Tabela2[[#This Row],[HORAS TRABALHADAS]]</f>
        <v>#VALUE!</v>
      </c>
      <c r="Q138" s="26"/>
      <c r="R138" s="27">
        <v>159.38999999999999</v>
      </c>
      <c r="S138" s="27">
        <v>168.95</v>
      </c>
      <c r="T138" s="28">
        <v>168</v>
      </c>
      <c r="U138" s="29" t="e">
        <f>Tabela2[[#This Row],[Faturamento Renovação 2025]]*Tabela2[[#This Row],[HORAS TRABALHADAS2]]</f>
        <v>#VALUE!</v>
      </c>
    </row>
    <row r="139" spans="1:21" s="62" customFormat="1" ht="15" customHeight="1">
      <c r="A139" s="232">
        <v>187</v>
      </c>
      <c r="B139" s="71" t="s">
        <v>618</v>
      </c>
      <c r="C139" s="34" t="s">
        <v>619</v>
      </c>
      <c r="D139" s="35" t="s">
        <v>401</v>
      </c>
      <c r="E139" s="23" t="s">
        <v>392</v>
      </c>
      <c r="F139" s="23" t="s">
        <v>303</v>
      </c>
      <c r="G139" s="160">
        <v>44419</v>
      </c>
      <c r="H139" s="149">
        <v>46112</v>
      </c>
      <c r="I139" s="102">
        <v>46023</v>
      </c>
      <c r="J139" s="102">
        <v>46288</v>
      </c>
      <c r="K139" s="58">
        <f t="shared" ref="K139" ca="1" si="12">J139-TODAY()</f>
        <v>174</v>
      </c>
      <c r="L139" s="26">
        <v>110</v>
      </c>
      <c r="M139" s="57"/>
      <c r="N139" s="26"/>
      <c r="O139" s="23">
        <v>168</v>
      </c>
      <c r="P139" s="26" t="e">
        <f>Tabela2[[#This Row],[VALOR HORA]]*Tabela2[[#This Row],[HORAS TRABALHADAS]]</f>
        <v>#VALUE!</v>
      </c>
      <c r="Q139" s="26">
        <v>170.29</v>
      </c>
      <c r="R139" s="27">
        <v>144.21</v>
      </c>
      <c r="S139" s="27">
        <v>161.72</v>
      </c>
      <c r="T139" s="28">
        <v>168</v>
      </c>
      <c r="U139" s="29" t="e">
        <f>Tabela2[[#This Row],[Faturamento Renovação 2025]]*168</f>
        <v>#VALUE!</v>
      </c>
    </row>
    <row r="140" spans="1:21" s="250" customFormat="1" ht="15" customHeight="1">
      <c r="A140" s="205"/>
      <c r="B140" s="248"/>
      <c r="C140" s="76"/>
      <c r="D140" s="76"/>
      <c r="E140" s="76"/>
      <c r="F140" s="76"/>
      <c r="G140" s="219"/>
      <c r="H140" s="219"/>
      <c r="I140" s="249"/>
      <c r="J140" s="249"/>
      <c r="K140" s="115"/>
      <c r="L140" s="78"/>
      <c r="M140" s="77"/>
      <c r="N140" s="78"/>
      <c r="O140" s="76"/>
      <c r="P140" s="78"/>
      <c r="Q140" s="78"/>
      <c r="R140" s="79"/>
      <c r="S140" s="79"/>
      <c r="T140" s="80"/>
      <c r="U140" s="81"/>
    </row>
    <row r="141" spans="1:21" s="250" customFormat="1" ht="13.5">
      <c r="A141" s="205"/>
      <c r="B141" s="248"/>
      <c r="C141" s="76"/>
      <c r="D141" s="76"/>
      <c r="E141" s="76"/>
      <c r="F141" s="76"/>
      <c r="G141" s="32"/>
      <c r="H141" s="249"/>
      <c r="I141" s="249"/>
      <c r="J141" s="249"/>
      <c r="K141" s="115"/>
      <c r="L141" s="78"/>
      <c r="M141" s="77"/>
      <c r="N141" s="78"/>
      <c r="O141" s="76"/>
      <c r="P141" s="78"/>
      <c r="Q141" s="78"/>
      <c r="R141" s="79"/>
      <c r="S141" s="79"/>
      <c r="T141" s="80"/>
      <c r="U141" s="81"/>
    </row>
    <row r="142" spans="1:21" ht="16.5">
      <c r="A142" s="353" t="s">
        <v>389</v>
      </c>
      <c r="B142" s="353"/>
      <c r="C142" s="353"/>
      <c r="D142" s="353"/>
      <c r="E142" s="353"/>
      <c r="F142" s="353"/>
      <c r="G142" s="353"/>
      <c r="H142" s="353"/>
      <c r="I142" s="353"/>
      <c r="J142" s="353"/>
      <c r="K142" s="353"/>
      <c r="L142" s="353"/>
      <c r="M142" s="353"/>
      <c r="N142" s="353"/>
      <c r="O142" s="353"/>
      <c r="P142" s="353"/>
      <c r="Q142" s="353"/>
      <c r="R142" s="353"/>
      <c r="S142" s="120"/>
      <c r="T142" s="120"/>
    </row>
    <row r="143" spans="1:21" ht="26.25">
      <c r="A143" s="350" t="s">
        <v>620</v>
      </c>
      <c r="B143" s="351"/>
      <c r="C143" s="351"/>
      <c r="D143" s="351"/>
      <c r="E143" s="351"/>
      <c r="F143" s="351"/>
      <c r="G143" s="351"/>
      <c r="H143" s="351"/>
      <c r="I143" s="351"/>
      <c r="J143" s="351"/>
      <c r="K143" s="351"/>
      <c r="L143" s="351"/>
      <c r="M143" s="351"/>
      <c r="N143" s="351"/>
      <c r="O143" s="351"/>
      <c r="P143" s="351"/>
      <c r="Q143" s="351"/>
      <c r="R143" s="351"/>
      <c r="S143" s="137" t="s">
        <v>397</v>
      </c>
      <c r="T143" s="156" t="s">
        <v>389</v>
      </c>
    </row>
    <row r="144" spans="1:21" ht="18" customHeight="1">
      <c r="A144" s="181">
        <v>37</v>
      </c>
      <c r="B144" s="125" t="s">
        <v>621</v>
      </c>
      <c r="C144" s="125" t="s">
        <v>622</v>
      </c>
      <c r="D144" s="125" t="s">
        <v>391</v>
      </c>
      <c r="E144" s="126" t="s">
        <v>392</v>
      </c>
      <c r="F144" s="125" t="s">
        <v>278</v>
      </c>
      <c r="G144" s="127">
        <v>44718</v>
      </c>
      <c r="H144" s="239">
        <v>45218</v>
      </c>
      <c r="I144" s="127">
        <v>45017</v>
      </c>
      <c r="J144" s="127">
        <v>45352</v>
      </c>
      <c r="K144" s="127">
        <v>44718</v>
      </c>
      <c r="L144" s="239">
        <v>45218</v>
      </c>
      <c r="M144" s="131">
        <v>95</v>
      </c>
      <c r="N144" s="125" t="s">
        <v>389</v>
      </c>
      <c r="O144" s="132" t="s">
        <v>397</v>
      </c>
      <c r="P144" s="132" t="s">
        <v>389</v>
      </c>
      <c r="Q144" s="182">
        <v>151.84</v>
      </c>
      <c r="R144" s="125" t="s">
        <v>389</v>
      </c>
      <c r="S144" s="137" t="s">
        <v>397</v>
      </c>
      <c r="T144" s="156" t="s">
        <v>389</v>
      </c>
    </row>
    <row r="145" spans="1:20" ht="18" customHeight="1">
      <c r="A145" s="136">
        <v>37</v>
      </c>
      <c r="B145" s="138" t="s">
        <v>623</v>
      </c>
      <c r="C145" s="138" t="s">
        <v>624</v>
      </c>
      <c r="D145" s="138" t="s">
        <v>391</v>
      </c>
      <c r="E145" s="139" t="s">
        <v>392</v>
      </c>
      <c r="F145" s="138" t="s">
        <v>278</v>
      </c>
      <c r="G145" s="140">
        <v>44949</v>
      </c>
      <c r="H145" s="149">
        <v>45240</v>
      </c>
      <c r="I145" s="140">
        <v>45017</v>
      </c>
      <c r="J145" s="140">
        <v>45352</v>
      </c>
      <c r="K145" s="140">
        <v>44949</v>
      </c>
      <c r="L145" s="149">
        <v>45240</v>
      </c>
      <c r="M145" s="143">
        <v>90</v>
      </c>
      <c r="N145" s="138" t="s">
        <v>389</v>
      </c>
      <c r="O145" s="144" t="s">
        <v>397</v>
      </c>
      <c r="P145" s="144" t="s">
        <v>389</v>
      </c>
      <c r="Q145" s="145">
        <v>151.84</v>
      </c>
      <c r="R145" s="138" t="s">
        <v>389</v>
      </c>
      <c r="S145" s="156" t="s">
        <v>397</v>
      </c>
      <c r="T145" s="156" t="s">
        <v>389</v>
      </c>
    </row>
    <row r="146" spans="1:20" ht="18" customHeight="1">
      <c r="A146" s="136">
        <v>37</v>
      </c>
      <c r="B146" s="138" t="s">
        <v>625</v>
      </c>
      <c r="C146" s="138" t="s">
        <v>624</v>
      </c>
      <c r="D146" s="138" t="s">
        <v>391</v>
      </c>
      <c r="E146" s="139" t="s">
        <v>392</v>
      </c>
      <c r="F146" s="138" t="s">
        <v>278</v>
      </c>
      <c r="G146" s="140">
        <v>44896</v>
      </c>
      <c r="H146" s="149">
        <v>45361</v>
      </c>
      <c r="I146" s="140">
        <v>45017</v>
      </c>
      <c r="J146" s="140">
        <v>45352</v>
      </c>
      <c r="K146" s="140">
        <v>44896</v>
      </c>
      <c r="L146" s="149">
        <v>45361</v>
      </c>
      <c r="M146" s="143">
        <v>72</v>
      </c>
      <c r="N146" s="138" t="s">
        <v>389</v>
      </c>
      <c r="O146" s="144" t="s">
        <v>397</v>
      </c>
      <c r="P146" s="155">
        <v>380</v>
      </c>
      <c r="Q146" s="145">
        <v>151.84</v>
      </c>
      <c r="R146" s="138" t="s">
        <v>389</v>
      </c>
      <c r="S146" s="137" t="s">
        <v>397</v>
      </c>
      <c r="T146" s="156" t="s">
        <v>389</v>
      </c>
    </row>
    <row r="147" spans="1:20" ht="18" customHeight="1">
      <c r="A147" s="148">
        <v>37</v>
      </c>
      <c r="B147" s="138" t="s">
        <v>626</v>
      </c>
      <c r="C147" s="138" t="s">
        <v>627</v>
      </c>
      <c r="D147" s="138" t="s">
        <v>401</v>
      </c>
      <c r="E147" s="139" t="s">
        <v>392</v>
      </c>
      <c r="F147" s="138" t="s">
        <v>278</v>
      </c>
      <c r="G147" s="140">
        <v>45048</v>
      </c>
      <c r="H147" s="149">
        <v>45486</v>
      </c>
      <c r="I147" s="140">
        <v>45017</v>
      </c>
      <c r="J147" s="140">
        <v>45352</v>
      </c>
      <c r="K147" s="140">
        <v>45048</v>
      </c>
      <c r="L147" s="149">
        <v>45486</v>
      </c>
      <c r="M147" s="143">
        <v>93</v>
      </c>
      <c r="N147" s="138" t="s">
        <v>389</v>
      </c>
      <c r="O147" s="144" t="s">
        <v>397</v>
      </c>
      <c r="P147" s="155">
        <v>1514.61</v>
      </c>
      <c r="Q147" s="145">
        <v>151.84</v>
      </c>
      <c r="R147" s="138" t="s">
        <v>389</v>
      </c>
      <c r="S147" s="156" t="s">
        <v>397</v>
      </c>
      <c r="T147" s="156" t="s">
        <v>389</v>
      </c>
    </row>
    <row r="148" spans="1:20" ht="18" customHeight="1">
      <c r="A148" s="136">
        <v>37</v>
      </c>
      <c r="B148" s="138" t="s">
        <v>628</v>
      </c>
      <c r="C148" s="138" t="s">
        <v>629</v>
      </c>
      <c r="D148" s="138" t="s">
        <v>389</v>
      </c>
      <c r="E148" s="139" t="s">
        <v>392</v>
      </c>
      <c r="F148" s="138" t="s">
        <v>278</v>
      </c>
      <c r="G148" s="140">
        <v>44606</v>
      </c>
      <c r="H148" s="149">
        <v>45367</v>
      </c>
      <c r="I148" s="140">
        <v>45017</v>
      </c>
      <c r="J148" s="140">
        <v>45352</v>
      </c>
      <c r="K148" s="140">
        <v>44606</v>
      </c>
      <c r="L148" s="149">
        <v>45367</v>
      </c>
      <c r="M148" s="143">
        <v>130</v>
      </c>
      <c r="N148" s="138" t="s">
        <v>389</v>
      </c>
      <c r="O148" s="144" t="s">
        <v>397</v>
      </c>
      <c r="P148" s="155">
        <v>393.24</v>
      </c>
      <c r="Q148" s="145">
        <v>184.08</v>
      </c>
      <c r="R148" s="138" t="s">
        <v>389</v>
      </c>
      <c r="S148" s="156" t="s">
        <v>397</v>
      </c>
      <c r="T148" s="156" t="s">
        <v>389</v>
      </c>
    </row>
    <row r="149" spans="1:20" ht="18" customHeight="1">
      <c r="A149" s="136">
        <v>37</v>
      </c>
      <c r="B149" s="138" t="s">
        <v>630</v>
      </c>
      <c r="C149" s="138" t="s">
        <v>631</v>
      </c>
      <c r="D149" s="138" t="s">
        <v>391</v>
      </c>
      <c r="E149" s="139" t="s">
        <v>392</v>
      </c>
      <c r="F149" s="138" t="s">
        <v>278</v>
      </c>
      <c r="G149" s="140">
        <v>45040</v>
      </c>
      <c r="H149" s="149">
        <v>45461</v>
      </c>
      <c r="I149" s="140">
        <v>45017</v>
      </c>
      <c r="J149" s="140">
        <v>45352</v>
      </c>
      <c r="K149" s="140">
        <v>45040</v>
      </c>
      <c r="L149" s="149">
        <v>45461</v>
      </c>
      <c r="M149" s="143">
        <v>95</v>
      </c>
      <c r="N149" s="138" t="s">
        <v>389</v>
      </c>
      <c r="O149" s="144" t="s">
        <v>397</v>
      </c>
      <c r="P149" s="155">
        <v>393.24</v>
      </c>
      <c r="Q149" s="145">
        <v>168.48</v>
      </c>
      <c r="R149" s="138" t="s">
        <v>389</v>
      </c>
      <c r="S149" s="137" t="s">
        <v>397</v>
      </c>
      <c r="T149" s="156" t="s">
        <v>389</v>
      </c>
    </row>
    <row r="150" spans="1:20" ht="18" customHeight="1">
      <c r="A150" s="148">
        <v>37</v>
      </c>
      <c r="B150" s="138" t="s">
        <v>632</v>
      </c>
      <c r="C150" s="138" t="s">
        <v>631</v>
      </c>
      <c r="D150" s="138" t="s">
        <v>391</v>
      </c>
      <c r="E150" s="139" t="s">
        <v>392</v>
      </c>
      <c r="F150" s="138" t="s">
        <v>278</v>
      </c>
      <c r="G150" s="140">
        <v>44770</v>
      </c>
      <c r="H150" s="149">
        <v>45469</v>
      </c>
      <c r="I150" s="140">
        <v>45017</v>
      </c>
      <c r="J150" s="140">
        <v>45352</v>
      </c>
      <c r="K150" s="140">
        <v>44770</v>
      </c>
      <c r="L150" s="149">
        <v>45469</v>
      </c>
      <c r="M150" s="143">
        <v>101.19</v>
      </c>
      <c r="N150" s="138" t="s">
        <v>389</v>
      </c>
      <c r="O150" s="144" t="s">
        <v>397</v>
      </c>
      <c r="P150" s="155">
        <v>165.2</v>
      </c>
      <c r="Q150" s="145">
        <v>168.48</v>
      </c>
      <c r="R150" s="138" t="s">
        <v>389</v>
      </c>
      <c r="S150" s="137" t="s">
        <v>397</v>
      </c>
      <c r="T150" s="156" t="s">
        <v>389</v>
      </c>
    </row>
    <row r="151" spans="1:20" ht="18" customHeight="1">
      <c r="A151" s="136">
        <v>37</v>
      </c>
      <c r="B151" s="138" t="s">
        <v>633</v>
      </c>
      <c r="C151" s="138" t="s">
        <v>634</v>
      </c>
      <c r="D151" s="138" t="s">
        <v>391</v>
      </c>
      <c r="E151" s="139" t="s">
        <v>392</v>
      </c>
      <c r="F151" s="138" t="s">
        <v>278</v>
      </c>
      <c r="G151" s="140">
        <v>45224</v>
      </c>
      <c r="H151" s="149">
        <v>45240</v>
      </c>
      <c r="I151" s="140">
        <v>45017</v>
      </c>
      <c r="J151" s="140">
        <v>45352</v>
      </c>
      <c r="K151" s="140">
        <v>45224</v>
      </c>
      <c r="L151" s="149">
        <v>45240</v>
      </c>
      <c r="M151" s="143">
        <v>95</v>
      </c>
      <c r="N151" s="138" t="s">
        <v>389</v>
      </c>
      <c r="O151" s="144" t="s">
        <v>397</v>
      </c>
      <c r="P151" s="138" t="s">
        <v>389</v>
      </c>
      <c r="Q151" s="145">
        <v>168.48</v>
      </c>
      <c r="R151" s="138" t="s">
        <v>389</v>
      </c>
      <c r="S151" s="137" t="s">
        <v>397</v>
      </c>
      <c r="T151" s="156" t="s">
        <v>389</v>
      </c>
    </row>
    <row r="152" spans="1:20" ht="18" customHeight="1">
      <c r="A152" s="136">
        <v>37</v>
      </c>
      <c r="B152" s="138" t="s">
        <v>635</v>
      </c>
      <c r="C152" s="138" t="s">
        <v>622</v>
      </c>
      <c r="D152" s="138" t="s">
        <v>391</v>
      </c>
      <c r="E152" s="139" t="s">
        <v>392</v>
      </c>
      <c r="F152" s="138" t="s">
        <v>278</v>
      </c>
      <c r="G152" s="140">
        <v>44817</v>
      </c>
      <c r="H152" s="149">
        <v>45240</v>
      </c>
      <c r="I152" s="140">
        <v>45017</v>
      </c>
      <c r="J152" s="140">
        <v>45352</v>
      </c>
      <c r="K152" s="140">
        <v>44817</v>
      </c>
      <c r="L152" s="149">
        <v>45240</v>
      </c>
      <c r="M152" s="143">
        <v>120</v>
      </c>
      <c r="N152" s="138" t="s">
        <v>389</v>
      </c>
      <c r="O152" s="144" t="s">
        <v>397</v>
      </c>
      <c r="P152" s="144" t="s">
        <v>389</v>
      </c>
      <c r="Q152" s="145">
        <v>168.48</v>
      </c>
      <c r="R152" s="138" t="s">
        <v>389</v>
      </c>
      <c r="S152" s="137" t="s">
        <v>397</v>
      </c>
      <c r="T152" s="156" t="s">
        <v>389</v>
      </c>
    </row>
    <row r="153" spans="1:20" ht="18" customHeight="1">
      <c r="A153" s="136">
        <v>37</v>
      </c>
      <c r="B153" s="138" t="s">
        <v>636</v>
      </c>
      <c r="C153" s="138" t="s">
        <v>637</v>
      </c>
      <c r="D153" s="138" t="s">
        <v>401</v>
      </c>
      <c r="E153" s="139" t="s">
        <v>392</v>
      </c>
      <c r="F153" s="138" t="s">
        <v>278</v>
      </c>
      <c r="G153" s="140">
        <v>45110</v>
      </c>
      <c r="H153" s="149">
        <v>45387</v>
      </c>
      <c r="I153" s="140">
        <v>45017</v>
      </c>
      <c r="J153" s="140">
        <v>45352</v>
      </c>
      <c r="K153" s="140">
        <v>45110</v>
      </c>
      <c r="L153" s="149">
        <v>45387</v>
      </c>
      <c r="M153" s="143">
        <v>71.430000000000007</v>
      </c>
      <c r="N153" s="138" t="s">
        <v>389</v>
      </c>
      <c r="O153" s="144" t="s">
        <v>397</v>
      </c>
      <c r="P153" s="155">
        <v>257.76</v>
      </c>
      <c r="Q153" s="145">
        <v>136.24</v>
      </c>
      <c r="R153" s="138" t="s">
        <v>389</v>
      </c>
      <c r="S153" s="154">
        <v>168</v>
      </c>
      <c r="T153" s="242">
        <v>28304.639999999999</v>
      </c>
    </row>
    <row r="154" spans="1:20" ht="18" customHeight="1">
      <c r="A154" s="136">
        <v>37</v>
      </c>
      <c r="B154" s="138" t="s">
        <v>638</v>
      </c>
      <c r="C154" s="138" t="s">
        <v>639</v>
      </c>
      <c r="D154" s="138" t="s">
        <v>396</v>
      </c>
      <c r="E154" s="139" t="s">
        <v>392</v>
      </c>
      <c r="F154" s="138" t="s">
        <v>278</v>
      </c>
      <c r="G154" s="140">
        <v>44578</v>
      </c>
      <c r="H154" s="149">
        <v>45430</v>
      </c>
      <c r="I154" s="140">
        <v>45017</v>
      </c>
      <c r="J154" s="140">
        <v>45352</v>
      </c>
      <c r="K154" s="140">
        <v>44578</v>
      </c>
      <c r="L154" s="149">
        <v>45430</v>
      </c>
      <c r="M154" s="143">
        <v>80</v>
      </c>
      <c r="N154" s="138" t="s">
        <v>389</v>
      </c>
      <c r="O154" s="144" t="s">
        <v>397</v>
      </c>
      <c r="P154" s="155">
        <v>257.76</v>
      </c>
      <c r="Q154" s="145">
        <v>136.24</v>
      </c>
      <c r="R154" s="138" t="s">
        <v>389</v>
      </c>
      <c r="S154" s="154">
        <v>168</v>
      </c>
      <c r="T154" s="242">
        <v>20092.8</v>
      </c>
    </row>
    <row r="155" spans="1:20" ht="18" customHeight="1">
      <c r="A155" s="148">
        <v>37</v>
      </c>
      <c r="B155" s="138" t="s">
        <v>640</v>
      </c>
      <c r="C155" s="138" t="s">
        <v>641</v>
      </c>
      <c r="D155" s="138" t="s">
        <v>391</v>
      </c>
      <c r="E155" s="139" t="s">
        <v>392</v>
      </c>
      <c r="F155" s="138" t="s">
        <v>278</v>
      </c>
      <c r="G155" s="140">
        <v>44894</v>
      </c>
      <c r="H155" s="149">
        <v>45600</v>
      </c>
      <c r="I155" s="140">
        <v>45017</v>
      </c>
      <c r="J155" s="140">
        <v>45352</v>
      </c>
      <c r="K155" s="140">
        <v>44894</v>
      </c>
      <c r="L155" s="241">
        <v>45600</v>
      </c>
      <c r="M155" s="143">
        <v>115</v>
      </c>
      <c r="N155" s="138" t="s">
        <v>389</v>
      </c>
      <c r="O155" s="138" t="s">
        <v>389</v>
      </c>
      <c r="P155" s="138">
        <v>168</v>
      </c>
      <c r="Q155" s="155">
        <v>19320</v>
      </c>
      <c r="R155" s="153">
        <v>168.48</v>
      </c>
      <c r="S155" s="154">
        <v>168</v>
      </c>
      <c r="T155" s="242">
        <v>24111.360000000001</v>
      </c>
    </row>
    <row r="156" spans="1:20" ht="18" customHeight="1">
      <c r="A156" s="148">
        <v>37</v>
      </c>
      <c r="B156" s="138" t="s">
        <v>642</v>
      </c>
      <c r="C156" s="138" t="s">
        <v>627</v>
      </c>
      <c r="D156" s="138" t="s">
        <v>431</v>
      </c>
      <c r="E156" s="139" t="s">
        <v>392</v>
      </c>
      <c r="F156" s="138" t="s">
        <v>278</v>
      </c>
      <c r="G156" s="140">
        <v>45002</v>
      </c>
      <c r="H156" s="149">
        <v>45666</v>
      </c>
      <c r="I156" s="140">
        <v>45017</v>
      </c>
      <c r="J156" s="140">
        <v>45352</v>
      </c>
      <c r="K156" s="140">
        <v>45002</v>
      </c>
      <c r="L156" s="241">
        <v>45666</v>
      </c>
      <c r="M156" s="143">
        <v>22</v>
      </c>
      <c r="N156" s="138" t="s">
        <v>389</v>
      </c>
      <c r="O156" s="138" t="s">
        <v>389</v>
      </c>
      <c r="P156" s="138">
        <v>168</v>
      </c>
      <c r="Q156" s="155">
        <v>3696</v>
      </c>
      <c r="R156" s="153">
        <v>119.6</v>
      </c>
      <c r="S156" s="154">
        <v>168</v>
      </c>
      <c r="T156" s="242">
        <v>28304.639999999999</v>
      </c>
    </row>
    <row r="157" spans="1:20" s="3" customFormat="1" ht="18" customHeight="1">
      <c r="A157" s="148">
        <v>37</v>
      </c>
      <c r="B157" s="138" t="s">
        <v>643</v>
      </c>
      <c r="C157" s="138" t="s">
        <v>644</v>
      </c>
      <c r="D157" s="138" t="s">
        <v>391</v>
      </c>
      <c r="E157" s="139" t="s">
        <v>392</v>
      </c>
      <c r="F157" s="138" t="s">
        <v>278</v>
      </c>
      <c r="G157" s="140">
        <v>44658</v>
      </c>
      <c r="H157" s="149">
        <v>45688</v>
      </c>
      <c r="I157" s="140">
        <v>45017</v>
      </c>
      <c r="J157" s="140">
        <v>45352</v>
      </c>
      <c r="K157" s="140">
        <v>44658</v>
      </c>
      <c r="L157" s="241">
        <v>45688</v>
      </c>
      <c r="M157" s="143">
        <v>90</v>
      </c>
      <c r="N157" s="138" t="s">
        <v>389</v>
      </c>
      <c r="O157" s="138" t="s">
        <v>389</v>
      </c>
      <c r="P157" s="138">
        <v>168</v>
      </c>
      <c r="Q157" s="155">
        <v>15120</v>
      </c>
      <c r="R157" s="153">
        <v>143.52000000000001</v>
      </c>
      <c r="S157" s="138">
        <v>168</v>
      </c>
      <c r="T157" s="226">
        <v>22888.32</v>
      </c>
    </row>
    <row r="158" spans="1:20" s="3" customFormat="1" ht="18" customHeight="1">
      <c r="A158" s="148">
        <v>37</v>
      </c>
      <c r="B158" s="296" t="s">
        <v>645</v>
      </c>
      <c r="C158" s="138" t="s">
        <v>631</v>
      </c>
      <c r="D158" s="138" t="s">
        <v>391</v>
      </c>
      <c r="E158" s="138" t="s">
        <v>646</v>
      </c>
      <c r="F158" s="138" t="s">
        <v>278</v>
      </c>
      <c r="G158" s="140">
        <v>44881</v>
      </c>
      <c r="H158" s="149" t="s">
        <v>389</v>
      </c>
      <c r="I158" s="140">
        <v>45017</v>
      </c>
      <c r="J158" s="140">
        <v>45352</v>
      </c>
      <c r="K158" s="140">
        <v>44881</v>
      </c>
      <c r="L158" s="138" t="s">
        <v>389</v>
      </c>
      <c r="M158" s="143">
        <v>108</v>
      </c>
      <c r="N158" s="138" t="s">
        <v>389</v>
      </c>
      <c r="O158" s="138" t="s">
        <v>389</v>
      </c>
      <c r="P158" s="138">
        <v>168</v>
      </c>
      <c r="Q158" s="155">
        <v>18144</v>
      </c>
      <c r="R158" s="153">
        <v>168.48</v>
      </c>
      <c r="S158" s="138">
        <v>168</v>
      </c>
      <c r="T158" s="226">
        <v>28304.639999999999</v>
      </c>
    </row>
    <row r="159" spans="1:20" s="3" customFormat="1" ht="18" customHeight="1">
      <c r="A159" s="136">
        <v>37</v>
      </c>
      <c r="B159" s="138" t="s">
        <v>647</v>
      </c>
      <c r="C159" s="138" t="s">
        <v>631</v>
      </c>
      <c r="D159" s="138" t="s">
        <v>431</v>
      </c>
      <c r="E159" s="138" t="s">
        <v>646</v>
      </c>
      <c r="F159" s="138" t="s">
        <v>278</v>
      </c>
      <c r="G159" s="140">
        <v>44781</v>
      </c>
      <c r="H159" s="149" t="s">
        <v>389</v>
      </c>
      <c r="I159" s="140">
        <v>45017</v>
      </c>
      <c r="J159" s="140">
        <v>45352</v>
      </c>
      <c r="K159" s="140">
        <v>44781</v>
      </c>
      <c r="L159" s="240" t="s">
        <v>389</v>
      </c>
      <c r="M159" s="143">
        <v>83</v>
      </c>
      <c r="N159" s="138" t="s">
        <v>389</v>
      </c>
      <c r="O159" s="138" t="s">
        <v>389</v>
      </c>
      <c r="P159" s="138">
        <v>168</v>
      </c>
      <c r="Q159" s="155">
        <v>13944</v>
      </c>
      <c r="R159" s="145">
        <v>136.24</v>
      </c>
      <c r="S159" s="138">
        <v>168</v>
      </c>
      <c r="T159" s="226">
        <v>22888.32</v>
      </c>
    </row>
    <row r="160" spans="1:20" s="3" customFormat="1" ht="18" customHeight="1">
      <c r="A160" s="136" t="s">
        <v>389</v>
      </c>
      <c r="B160" s="138" t="s">
        <v>648</v>
      </c>
      <c r="C160" s="138" t="s">
        <v>627</v>
      </c>
      <c r="D160" s="138" t="s">
        <v>391</v>
      </c>
      <c r="E160" s="138" t="s">
        <v>646</v>
      </c>
      <c r="F160" s="138" t="s">
        <v>278</v>
      </c>
      <c r="G160" s="140">
        <v>45467</v>
      </c>
      <c r="H160" s="149" t="s">
        <v>389</v>
      </c>
      <c r="I160" s="138" t="s">
        <v>389</v>
      </c>
      <c r="J160" s="138" t="s">
        <v>389</v>
      </c>
      <c r="K160" s="140">
        <v>45467</v>
      </c>
      <c r="L160" s="138" t="s">
        <v>389</v>
      </c>
      <c r="M160" s="143">
        <v>100</v>
      </c>
      <c r="N160" s="138" t="s">
        <v>389</v>
      </c>
      <c r="O160" s="138" t="s">
        <v>389</v>
      </c>
      <c r="P160" s="138">
        <v>168</v>
      </c>
      <c r="Q160" s="155">
        <v>16800</v>
      </c>
      <c r="R160" s="145">
        <v>168.48</v>
      </c>
      <c r="S160" s="138">
        <v>168</v>
      </c>
      <c r="T160" s="226">
        <v>25509.119999999999</v>
      </c>
    </row>
    <row r="161" spans="1:20" s="3" customFormat="1" ht="18" customHeight="1">
      <c r="A161" s="136" t="s">
        <v>389</v>
      </c>
      <c r="B161" s="296" t="s">
        <v>649</v>
      </c>
      <c r="C161" s="138" t="s">
        <v>650</v>
      </c>
      <c r="D161" s="138" t="s">
        <v>396</v>
      </c>
      <c r="E161" s="138" t="s">
        <v>646</v>
      </c>
      <c r="F161" s="138" t="s">
        <v>278</v>
      </c>
      <c r="G161" s="140">
        <v>45523</v>
      </c>
      <c r="H161" s="149" t="s">
        <v>389</v>
      </c>
      <c r="I161" s="138" t="s">
        <v>389</v>
      </c>
      <c r="J161" s="138" t="s">
        <v>389</v>
      </c>
      <c r="K161" s="140">
        <v>45523</v>
      </c>
      <c r="L161" s="138" t="s">
        <v>389</v>
      </c>
      <c r="M161" s="143">
        <v>80</v>
      </c>
      <c r="N161" s="138" t="s">
        <v>389</v>
      </c>
      <c r="O161" s="138" t="s">
        <v>389</v>
      </c>
      <c r="P161" s="138">
        <v>168</v>
      </c>
      <c r="Q161" s="155">
        <v>13440</v>
      </c>
      <c r="R161" s="145">
        <v>136.24</v>
      </c>
      <c r="S161" s="138">
        <v>168</v>
      </c>
      <c r="T161" s="226">
        <v>21490.560000000001</v>
      </c>
    </row>
    <row r="162" spans="1:20" s="3" customFormat="1" ht="18" customHeight="1">
      <c r="A162" s="136" t="s">
        <v>389</v>
      </c>
      <c r="B162" s="297" t="s">
        <v>651</v>
      </c>
      <c r="C162" s="138" t="s">
        <v>652</v>
      </c>
      <c r="D162" s="138" t="s">
        <v>391</v>
      </c>
      <c r="E162" s="138" t="s">
        <v>646</v>
      </c>
      <c r="F162" s="138" t="s">
        <v>278</v>
      </c>
      <c r="G162" s="140">
        <v>45530</v>
      </c>
      <c r="H162" s="149" t="s">
        <v>389</v>
      </c>
      <c r="I162" s="138" t="s">
        <v>389</v>
      </c>
      <c r="J162" s="138" t="s">
        <v>389</v>
      </c>
      <c r="K162" s="140">
        <v>45530</v>
      </c>
      <c r="L162" s="138" t="s">
        <v>389</v>
      </c>
      <c r="M162" s="143">
        <v>93</v>
      </c>
      <c r="N162" s="138" t="s">
        <v>389</v>
      </c>
      <c r="O162" s="138" t="s">
        <v>389</v>
      </c>
      <c r="P162" s="138">
        <v>168</v>
      </c>
      <c r="Q162" s="155">
        <v>15624</v>
      </c>
      <c r="R162" s="145">
        <v>151.84</v>
      </c>
      <c r="S162" s="138">
        <v>168</v>
      </c>
      <c r="T162" s="226">
        <v>22888.32</v>
      </c>
    </row>
    <row r="163" spans="1:20" s="3" customFormat="1" ht="18" customHeight="1">
      <c r="A163" s="136" t="s">
        <v>389</v>
      </c>
      <c r="B163" s="138" t="s">
        <v>653</v>
      </c>
      <c r="C163" s="138" t="s">
        <v>654</v>
      </c>
      <c r="D163" s="138" t="s">
        <v>396</v>
      </c>
      <c r="E163" s="138" t="s">
        <v>646</v>
      </c>
      <c r="F163" s="138" t="s">
        <v>278</v>
      </c>
      <c r="G163" s="140">
        <v>45520</v>
      </c>
      <c r="H163" s="149" t="s">
        <v>389</v>
      </c>
      <c r="I163" s="138" t="s">
        <v>389</v>
      </c>
      <c r="J163" s="138" t="s">
        <v>389</v>
      </c>
      <c r="K163" s="140">
        <v>45520</v>
      </c>
      <c r="L163" s="138" t="s">
        <v>389</v>
      </c>
      <c r="M163" s="143">
        <v>83.33</v>
      </c>
      <c r="N163" s="138" t="s">
        <v>389</v>
      </c>
      <c r="O163" s="138" t="s">
        <v>389</v>
      </c>
      <c r="P163" s="138">
        <v>168</v>
      </c>
      <c r="Q163" s="155">
        <v>14000</v>
      </c>
      <c r="R163" s="145">
        <v>136.24</v>
      </c>
      <c r="S163" s="138">
        <v>168</v>
      </c>
      <c r="T163" s="226">
        <v>21490.560000000001</v>
      </c>
    </row>
    <row r="164" spans="1:20" s="3" customFormat="1" ht="18" customHeight="1">
      <c r="A164" s="136">
        <v>52</v>
      </c>
      <c r="B164" s="156" t="s">
        <v>655</v>
      </c>
      <c r="C164" s="138" t="s">
        <v>631</v>
      </c>
      <c r="D164" s="138" t="s">
        <v>391</v>
      </c>
      <c r="E164" s="138" t="s">
        <v>646</v>
      </c>
      <c r="F164" s="138" t="s">
        <v>278</v>
      </c>
      <c r="G164" s="140">
        <v>44823</v>
      </c>
      <c r="H164" s="149" t="s">
        <v>389</v>
      </c>
      <c r="I164" s="140">
        <v>45017</v>
      </c>
      <c r="J164" s="140">
        <v>45352</v>
      </c>
      <c r="K164" s="140">
        <v>44823</v>
      </c>
      <c r="L164" s="138" t="s">
        <v>389</v>
      </c>
      <c r="M164" s="143">
        <v>100</v>
      </c>
      <c r="N164" s="138" t="s">
        <v>389</v>
      </c>
      <c r="O164" s="138" t="s">
        <v>389</v>
      </c>
      <c r="P164" s="138">
        <v>168</v>
      </c>
      <c r="Q164" s="155">
        <v>16800</v>
      </c>
      <c r="R164" s="145">
        <v>168.48</v>
      </c>
      <c r="S164" s="138">
        <v>168</v>
      </c>
      <c r="T164" s="226">
        <v>22888.32</v>
      </c>
    </row>
    <row r="165" spans="1:20" s="3" customFormat="1" ht="18" customHeight="1">
      <c r="A165" s="136">
        <v>83</v>
      </c>
      <c r="B165" s="296" t="s">
        <v>656</v>
      </c>
      <c r="C165" s="138" t="s">
        <v>430</v>
      </c>
      <c r="D165" s="138" t="s">
        <v>396</v>
      </c>
      <c r="E165" s="138" t="s">
        <v>646</v>
      </c>
      <c r="F165" s="138" t="s">
        <v>278</v>
      </c>
      <c r="G165" s="140">
        <v>44587</v>
      </c>
      <c r="H165" s="149" t="s">
        <v>389</v>
      </c>
      <c r="I165" s="140">
        <v>45444</v>
      </c>
      <c r="J165" s="140">
        <v>45808</v>
      </c>
      <c r="K165" s="140">
        <v>44587</v>
      </c>
      <c r="L165" s="138" t="s">
        <v>389</v>
      </c>
      <c r="M165" s="143">
        <v>46</v>
      </c>
      <c r="N165" s="138" t="s">
        <v>389</v>
      </c>
      <c r="O165" s="138" t="s">
        <v>389</v>
      </c>
      <c r="P165" s="138">
        <v>168</v>
      </c>
      <c r="Q165" s="155">
        <v>7728</v>
      </c>
      <c r="R165" s="145">
        <v>127.92</v>
      </c>
      <c r="S165" s="138">
        <v>168</v>
      </c>
      <c r="T165" s="226">
        <v>28304.639999999999</v>
      </c>
    </row>
    <row r="166" spans="1:20" s="118" customFormat="1" ht="18" customHeight="1">
      <c r="A166" s="136" t="s">
        <v>389</v>
      </c>
      <c r="B166" s="296" t="s">
        <v>657</v>
      </c>
      <c r="C166" s="138" t="s">
        <v>627</v>
      </c>
      <c r="D166" s="138" t="s">
        <v>391</v>
      </c>
      <c r="E166" s="138" t="s">
        <v>646</v>
      </c>
      <c r="F166" s="138" t="s">
        <v>278</v>
      </c>
      <c r="G166" s="140">
        <v>45453</v>
      </c>
      <c r="H166" s="149" t="s">
        <v>389</v>
      </c>
      <c r="I166" s="138" t="s">
        <v>389</v>
      </c>
      <c r="J166" s="138" t="s">
        <v>389</v>
      </c>
      <c r="K166" s="140">
        <v>45453</v>
      </c>
      <c r="L166" s="240" t="s">
        <v>389</v>
      </c>
      <c r="M166" s="143">
        <v>95</v>
      </c>
      <c r="N166" s="138" t="s">
        <v>389</v>
      </c>
      <c r="O166" s="138" t="s">
        <v>389</v>
      </c>
      <c r="P166" s="138">
        <v>168</v>
      </c>
      <c r="Q166" s="155">
        <v>15960</v>
      </c>
      <c r="R166" s="145">
        <v>168.48</v>
      </c>
      <c r="S166" s="244"/>
      <c r="T166" s="244"/>
    </row>
    <row r="167" spans="1:20" ht="18" customHeight="1">
      <c r="A167" s="189">
        <v>72</v>
      </c>
      <c r="B167" s="191" t="s">
        <v>658</v>
      </c>
      <c r="C167" s="138" t="s">
        <v>602</v>
      </c>
      <c r="D167" s="159" t="s">
        <v>28</v>
      </c>
      <c r="E167" s="139" t="s">
        <v>392</v>
      </c>
      <c r="F167" s="159" t="s">
        <v>278</v>
      </c>
      <c r="G167" s="160">
        <v>44896</v>
      </c>
      <c r="H167" s="149">
        <v>45930</v>
      </c>
      <c r="I167" s="160">
        <v>45748</v>
      </c>
      <c r="J167" s="160">
        <v>46112</v>
      </c>
      <c r="K167" s="162">
        <v>169</v>
      </c>
      <c r="L167" s="230">
        <v>112</v>
      </c>
      <c r="M167" s="159" t="s">
        <v>389</v>
      </c>
      <c r="N167" s="159" t="s">
        <v>389</v>
      </c>
      <c r="O167" s="230">
        <v>168</v>
      </c>
      <c r="P167" s="162" t="e">
        <v>#VALUE!</v>
      </c>
      <c r="Q167" s="178">
        <v>380</v>
      </c>
      <c r="R167" s="243">
        <v>160.93</v>
      </c>
      <c r="S167" s="120"/>
      <c r="T167" s="120"/>
    </row>
    <row r="168" spans="1:20" ht="16.5">
      <c r="A168" s="251"/>
      <c r="B168" s="205"/>
      <c r="C168" s="252"/>
      <c r="D168" s="205"/>
      <c r="E168" s="253"/>
      <c r="F168" s="205"/>
      <c r="G168" s="219"/>
      <c r="H168" s="219"/>
      <c r="I168" s="219"/>
      <c r="J168" s="219"/>
      <c r="K168" s="237"/>
      <c r="L168" s="254"/>
      <c r="M168" s="205"/>
      <c r="N168" s="205"/>
      <c r="O168" s="254"/>
      <c r="P168" s="237"/>
      <c r="Q168" s="255"/>
      <c r="R168" s="256"/>
      <c r="S168" s="120"/>
      <c r="T168" s="120"/>
    </row>
    <row r="169" spans="1:20">
      <c r="A169" s="354" t="s">
        <v>389</v>
      </c>
      <c r="B169" s="355"/>
      <c r="C169" s="355"/>
      <c r="D169" s="355"/>
      <c r="E169" s="355"/>
      <c r="F169" s="355"/>
      <c r="G169" s="355"/>
      <c r="H169" s="355"/>
      <c r="I169" s="355"/>
      <c r="J169" s="355"/>
      <c r="K169" s="355"/>
      <c r="L169" s="355"/>
      <c r="M169" s="355"/>
      <c r="N169" s="355"/>
      <c r="O169" s="355"/>
      <c r="P169" s="355"/>
      <c r="Q169" s="355"/>
      <c r="R169" s="355"/>
      <c r="S169" s="225" t="e">
        <v>#REF!</v>
      </c>
      <c r="T169" s="247" t="s">
        <v>389</v>
      </c>
    </row>
    <row r="170" spans="1:20" s="117" customFormat="1" ht="16.5">
      <c r="A170" s="350" t="s">
        <v>659</v>
      </c>
      <c r="B170" s="351"/>
      <c r="C170" s="351"/>
      <c r="D170" s="351"/>
      <c r="E170" s="351"/>
      <c r="F170" s="351"/>
      <c r="G170" s="351"/>
      <c r="H170" s="351"/>
      <c r="I170" s="351"/>
      <c r="J170" s="351"/>
      <c r="K170" s="351"/>
      <c r="L170" s="351"/>
      <c r="M170" s="351"/>
      <c r="N170" s="351"/>
      <c r="O170" s="351"/>
      <c r="P170" s="351"/>
      <c r="Q170" s="351"/>
      <c r="R170" s="351"/>
    </row>
    <row r="171" spans="1:20" s="117" customFormat="1">
      <c r="A171" s="181">
        <v>1</v>
      </c>
      <c r="B171" s="129" t="s">
        <v>660</v>
      </c>
      <c r="C171" s="129" t="s">
        <v>389</v>
      </c>
      <c r="D171" s="129" t="s">
        <v>389</v>
      </c>
      <c r="E171" s="126" t="s">
        <v>392</v>
      </c>
      <c r="F171" s="129" t="s">
        <v>278</v>
      </c>
      <c r="G171" s="130">
        <v>45300</v>
      </c>
      <c r="H171" s="130">
        <v>45382</v>
      </c>
      <c r="I171" s="130">
        <v>45300</v>
      </c>
      <c r="J171" s="239">
        <v>45486</v>
      </c>
      <c r="K171" s="129"/>
      <c r="L171" s="129"/>
      <c r="M171" s="245">
        <v>55</v>
      </c>
      <c r="N171" s="129" t="s">
        <v>389</v>
      </c>
      <c r="O171" s="184" t="s">
        <v>397</v>
      </c>
      <c r="P171" s="246" t="s">
        <v>389</v>
      </c>
      <c r="Q171" s="89" t="s">
        <v>389</v>
      </c>
      <c r="R171" s="182">
        <v>103.77</v>
      </c>
    </row>
    <row r="172" spans="1:20" s="118" customFormat="1" ht="18" customHeight="1">
      <c r="A172" s="136">
        <v>9</v>
      </c>
      <c r="B172" s="138" t="s">
        <v>661</v>
      </c>
      <c r="C172" s="138" t="s">
        <v>662</v>
      </c>
      <c r="D172" s="138" t="s">
        <v>45</v>
      </c>
      <c r="E172" s="138" t="s">
        <v>392</v>
      </c>
      <c r="F172" s="138" t="s">
        <v>278</v>
      </c>
      <c r="G172" s="140">
        <v>44837</v>
      </c>
      <c r="H172" s="130">
        <v>45968</v>
      </c>
      <c r="I172" s="130">
        <v>45748</v>
      </c>
      <c r="J172" s="239">
        <v>46021</v>
      </c>
      <c r="K172" s="140">
        <f ca="1">J172-TODAY()</f>
        <v>-93</v>
      </c>
      <c r="L172" s="230">
        <v>21</v>
      </c>
      <c r="M172" s="143"/>
      <c r="N172" s="138"/>
      <c r="O172" s="138"/>
      <c r="P172" s="138">
        <v>168</v>
      </c>
      <c r="Q172" s="155">
        <f>L172*P172</f>
        <v>3528</v>
      </c>
      <c r="R172" s="145">
        <v>40.98</v>
      </c>
      <c r="S172" s="244">
        <v>168</v>
      </c>
      <c r="T172" s="244">
        <f>R172*S172</f>
        <v>6884.6399999999994</v>
      </c>
    </row>
    <row r="173" spans="1:20" s="117" customFormat="1"/>
    <row r="174" spans="1:20" s="117" customFormat="1" ht="16.5">
      <c r="A174" s="350" t="s">
        <v>663</v>
      </c>
      <c r="B174" s="351"/>
      <c r="C174" s="351"/>
      <c r="D174" s="351"/>
      <c r="E174" s="351"/>
      <c r="F174" s="351"/>
      <c r="G174" s="351"/>
      <c r="H174" s="351"/>
      <c r="I174" s="351"/>
      <c r="J174" s="351"/>
      <c r="K174" s="351"/>
      <c r="L174" s="351"/>
      <c r="M174" s="351"/>
      <c r="N174" s="351"/>
      <c r="O174" s="351"/>
      <c r="P174" s="351"/>
      <c r="Q174" s="351"/>
      <c r="R174" s="351"/>
    </row>
    <row r="175" spans="1:20" s="118" customFormat="1" ht="18" customHeight="1">
      <c r="A175" s="136"/>
      <c r="B175" s="138" t="s">
        <v>664</v>
      </c>
      <c r="C175" s="138" t="s">
        <v>665</v>
      </c>
      <c r="D175" s="138" t="s">
        <v>316</v>
      </c>
      <c r="E175" s="138" t="s">
        <v>392</v>
      </c>
      <c r="F175" s="138" t="s">
        <v>278</v>
      </c>
      <c r="G175" s="140">
        <v>45959</v>
      </c>
      <c r="H175" s="298">
        <v>45986</v>
      </c>
      <c r="I175" s="130"/>
      <c r="J175" s="239"/>
      <c r="K175" s="140"/>
      <c r="L175" s="230"/>
      <c r="M175" s="143">
        <v>85</v>
      </c>
      <c r="N175" s="138"/>
      <c r="O175" s="138">
        <v>168</v>
      </c>
      <c r="P175" s="294">
        <v>14280</v>
      </c>
      <c r="Q175" s="155"/>
      <c r="R175" s="145">
        <v>160.71</v>
      </c>
      <c r="S175" s="244"/>
      <c r="T175" s="226">
        <v>26999.280000000002</v>
      </c>
    </row>
    <row r="176" spans="1:20" s="118" customFormat="1" ht="18" customHeight="1">
      <c r="A176" s="136"/>
      <c r="B176" s="138" t="s">
        <v>666</v>
      </c>
      <c r="C176" s="138" t="s">
        <v>449</v>
      </c>
      <c r="D176" s="138" t="s">
        <v>316</v>
      </c>
      <c r="E176" s="138" t="s">
        <v>392</v>
      </c>
      <c r="F176" s="138" t="s">
        <v>278</v>
      </c>
      <c r="G176" s="140">
        <v>45950</v>
      </c>
      <c r="H176" s="298">
        <v>46013</v>
      </c>
      <c r="I176" s="130"/>
      <c r="J176" s="239"/>
      <c r="K176" s="140"/>
      <c r="L176" s="230"/>
      <c r="M176" s="143">
        <v>98</v>
      </c>
      <c r="N176" s="138"/>
      <c r="O176" s="138">
        <v>168</v>
      </c>
      <c r="P176" s="294">
        <f>L176*O176</f>
        <v>0</v>
      </c>
      <c r="Q176" s="155">
        <f>M176*P176</f>
        <v>0</v>
      </c>
      <c r="R176" s="145">
        <v>160.71</v>
      </c>
      <c r="S176" s="244">
        <v>168</v>
      </c>
      <c r="T176" s="226">
        <f>R176*S176</f>
        <v>26999.280000000002</v>
      </c>
    </row>
    <row r="177" s="117" customFormat="1"/>
    <row r="178" s="117" customFormat="1"/>
    <row r="179" s="117" customFormat="1"/>
    <row r="180" s="117" customFormat="1"/>
    <row r="181" s="117" customFormat="1"/>
    <row r="182" s="117" customFormat="1"/>
    <row r="183" s="117" customFormat="1"/>
    <row r="184" s="117" customFormat="1"/>
    <row r="185" s="117" customFormat="1"/>
    <row r="186" s="117" customFormat="1"/>
    <row r="187" s="117" customFormat="1"/>
    <row r="188" s="117" customFormat="1"/>
    <row r="189" s="117" customFormat="1"/>
    <row r="190" s="117" customFormat="1"/>
    <row r="191" s="117" customFormat="1"/>
    <row r="192" s="117" customFormat="1"/>
    <row r="193" s="117" customFormat="1"/>
    <row r="194" s="117" customFormat="1"/>
    <row r="195" s="117" customFormat="1"/>
    <row r="196" s="117" customFormat="1"/>
    <row r="197" s="117" customFormat="1"/>
  </sheetData>
  <autoFilter ref="A4:W67" xr:uid="{4853EAC5-0D7C-41A0-8665-417859B6CA2F}"/>
  <mergeCells count="10">
    <mergeCell ref="A174:R174"/>
    <mergeCell ref="A169:R169"/>
    <mergeCell ref="A170:R170"/>
    <mergeCell ref="A1:R2"/>
    <mergeCell ref="A3:R3"/>
    <mergeCell ref="A83:R83"/>
    <mergeCell ref="A110:R110"/>
    <mergeCell ref="A111:R111"/>
    <mergeCell ref="A142:R142"/>
    <mergeCell ref="A143:R143"/>
  </mergeCells>
  <conditionalFormatting sqref="K108 N109">
    <cfRule type="iconSet" priority="6">
      <iconSet iconSet="3Symbols">
        <cfvo type="percent" val="0"/>
        <cfvo type="num" val="30"/>
        <cfvo type="num" val="60"/>
      </iconSet>
    </cfRule>
  </conditionalFormatting>
  <conditionalFormatting sqref="K130:K141">
    <cfRule type="iconSet" priority="63">
      <iconSet iconSet="3Symbols">
        <cfvo type="percent" val="0"/>
        <cfvo type="num" val="30"/>
        <cfvo type="num" val="60"/>
      </iconSet>
    </cfRule>
  </conditionalFormatting>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DE1F-BABF-45E2-9BBD-E0BE15EC5559}">
  <dimension ref="A1:F102"/>
  <sheetViews>
    <sheetView workbookViewId="0">
      <selection sqref="A1:F2"/>
    </sheetView>
  </sheetViews>
  <sheetFormatPr defaultRowHeight="15"/>
  <cols>
    <col min="1" max="1" width="40.7109375" bestFit="1" customWidth="1"/>
    <col min="2" max="2" width="21.42578125" customWidth="1"/>
    <col min="3" max="3" width="25.5703125" customWidth="1"/>
    <col min="4" max="4" width="24.7109375" customWidth="1"/>
    <col min="5" max="5" width="12" bestFit="1" customWidth="1"/>
    <col min="6" max="6" width="38.7109375" customWidth="1"/>
  </cols>
  <sheetData>
    <row r="1" spans="1:6">
      <c r="A1" s="108" t="s">
        <v>667</v>
      </c>
      <c r="B1" s="108" t="s">
        <v>668</v>
      </c>
      <c r="C1" s="108" t="s">
        <v>669</v>
      </c>
      <c r="D1" s="108" t="s">
        <v>670</v>
      </c>
      <c r="E1" s="108" t="s">
        <v>671</v>
      </c>
      <c r="F1" s="108" t="s">
        <v>672</v>
      </c>
    </row>
    <row r="2" spans="1:6" ht="17.25" customHeight="1">
      <c r="A2" s="109" t="s">
        <v>673</v>
      </c>
      <c r="B2" s="110" t="s">
        <v>674</v>
      </c>
      <c r="C2" s="109" t="s">
        <v>675</v>
      </c>
      <c r="D2" s="109" t="s">
        <v>676</v>
      </c>
      <c r="E2" s="110" t="s">
        <v>677</v>
      </c>
      <c r="F2" s="111" t="s">
        <v>678</v>
      </c>
    </row>
    <row r="3" spans="1:6" ht="17.25" customHeight="1">
      <c r="A3" s="109" t="s">
        <v>679</v>
      </c>
      <c r="B3" s="110" t="s">
        <v>674</v>
      </c>
      <c r="C3" s="109" t="s">
        <v>675</v>
      </c>
      <c r="D3" s="109" t="s">
        <v>676</v>
      </c>
      <c r="E3" s="110" t="s">
        <v>680</v>
      </c>
      <c r="F3" s="111" t="s">
        <v>678</v>
      </c>
    </row>
    <row r="4" spans="1:6" ht="17.25" customHeight="1">
      <c r="A4" s="109" t="s">
        <v>681</v>
      </c>
      <c r="B4" s="110" t="s">
        <v>674</v>
      </c>
      <c r="C4" s="109" t="s">
        <v>682</v>
      </c>
      <c r="D4" s="109" t="s">
        <v>676</v>
      </c>
      <c r="E4" s="110" t="s">
        <v>680</v>
      </c>
      <c r="F4" s="111" t="s">
        <v>683</v>
      </c>
    </row>
    <row r="5" spans="1:6" ht="17.25" customHeight="1">
      <c r="A5" s="109" t="s">
        <v>684</v>
      </c>
      <c r="B5" s="110" t="s">
        <v>674</v>
      </c>
      <c r="C5" s="109" t="s">
        <v>685</v>
      </c>
      <c r="D5" s="109" t="s">
        <v>686</v>
      </c>
      <c r="E5" s="110" t="s">
        <v>680</v>
      </c>
      <c r="F5" s="110"/>
    </row>
    <row r="6" spans="1:6" ht="17.25" customHeight="1">
      <c r="A6" s="109" t="s">
        <v>687</v>
      </c>
      <c r="B6" s="110" t="s">
        <v>674</v>
      </c>
      <c r="C6" s="109" t="s">
        <v>688</v>
      </c>
      <c r="D6" s="109" t="s">
        <v>686</v>
      </c>
      <c r="E6" s="110" t="s">
        <v>689</v>
      </c>
      <c r="F6" s="110"/>
    </row>
    <row r="7" spans="1:6" ht="17.25" customHeight="1">
      <c r="A7" s="109" t="s">
        <v>690</v>
      </c>
      <c r="B7" s="110" t="s">
        <v>674</v>
      </c>
      <c r="C7" s="109" t="s">
        <v>691</v>
      </c>
      <c r="D7" s="109" t="s">
        <v>691</v>
      </c>
      <c r="E7" s="110" t="s">
        <v>680</v>
      </c>
      <c r="F7" s="110"/>
    </row>
    <row r="8" spans="1:6" ht="17.25" customHeight="1">
      <c r="A8" s="109" t="s">
        <v>692</v>
      </c>
      <c r="B8" s="110" t="s">
        <v>674</v>
      </c>
      <c r="C8" s="109" t="s">
        <v>691</v>
      </c>
      <c r="D8" s="109" t="s">
        <v>691</v>
      </c>
      <c r="E8" s="110" t="s">
        <v>680</v>
      </c>
      <c r="F8" s="110"/>
    </row>
    <row r="9" spans="1:6" ht="17.25" customHeight="1">
      <c r="A9" s="109" t="s">
        <v>693</v>
      </c>
      <c r="B9" s="110" t="s">
        <v>674</v>
      </c>
      <c r="C9" s="109" t="s">
        <v>691</v>
      </c>
      <c r="D9" s="109" t="s">
        <v>691</v>
      </c>
      <c r="E9" s="110" t="s">
        <v>680</v>
      </c>
      <c r="F9" s="110"/>
    </row>
    <row r="10" spans="1:6" ht="17.25" customHeight="1">
      <c r="A10" s="109" t="s">
        <v>694</v>
      </c>
      <c r="B10" s="110" t="s">
        <v>674</v>
      </c>
      <c r="C10" s="109" t="s">
        <v>691</v>
      </c>
      <c r="D10" s="109" t="s">
        <v>691</v>
      </c>
      <c r="E10" s="110" t="s">
        <v>680</v>
      </c>
      <c r="F10" s="110"/>
    </row>
    <row r="11" spans="1:6" ht="17.25" customHeight="1">
      <c r="A11" s="109" t="s">
        <v>695</v>
      </c>
      <c r="B11" s="110" t="s">
        <v>674</v>
      </c>
      <c r="C11" s="109" t="s">
        <v>691</v>
      </c>
      <c r="D11" s="109" t="s">
        <v>691</v>
      </c>
      <c r="E11" s="110" t="s">
        <v>680</v>
      </c>
      <c r="F11" s="110"/>
    </row>
    <row r="12" spans="1:6" ht="17.25" customHeight="1">
      <c r="A12" s="109" t="s">
        <v>696</v>
      </c>
      <c r="B12" s="110" t="s">
        <v>674</v>
      </c>
      <c r="C12" s="109" t="s">
        <v>691</v>
      </c>
      <c r="D12" s="109" t="s">
        <v>691</v>
      </c>
      <c r="E12" s="110" t="s">
        <v>680</v>
      </c>
      <c r="F12" s="110"/>
    </row>
    <row r="13" spans="1:6" ht="17.25" customHeight="1">
      <c r="A13" s="109" t="s">
        <v>697</v>
      </c>
      <c r="B13" s="110" t="s">
        <v>674</v>
      </c>
      <c r="C13" s="109" t="s">
        <v>691</v>
      </c>
      <c r="D13" s="109" t="s">
        <v>691</v>
      </c>
      <c r="E13" s="110" t="s">
        <v>680</v>
      </c>
      <c r="F13" s="110"/>
    </row>
    <row r="14" spans="1:6" ht="17.25" customHeight="1">
      <c r="A14" s="109" t="s">
        <v>698</v>
      </c>
      <c r="B14" s="110" t="s">
        <v>674</v>
      </c>
      <c r="C14" s="109" t="s">
        <v>691</v>
      </c>
      <c r="D14" s="109" t="s">
        <v>691</v>
      </c>
      <c r="E14" s="110" t="s">
        <v>680</v>
      </c>
      <c r="F14" s="110"/>
    </row>
    <row r="15" spans="1:6" ht="17.25" customHeight="1">
      <c r="A15" s="109" t="s">
        <v>699</v>
      </c>
      <c r="B15" s="110" t="s">
        <v>674</v>
      </c>
      <c r="C15" s="109" t="s">
        <v>700</v>
      </c>
      <c r="D15" s="109" t="s">
        <v>676</v>
      </c>
      <c r="E15" s="110" t="s">
        <v>680</v>
      </c>
      <c r="F15" s="110"/>
    </row>
    <row r="16" spans="1:6" ht="17.25" customHeight="1">
      <c r="A16" s="109" t="s">
        <v>701</v>
      </c>
      <c r="B16" s="110" t="s">
        <v>674</v>
      </c>
      <c r="C16" s="109" t="s">
        <v>685</v>
      </c>
      <c r="D16" s="109" t="s">
        <v>691</v>
      </c>
      <c r="E16" s="110" t="s">
        <v>689</v>
      </c>
      <c r="F16" s="110"/>
    </row>
    <row r="17" spans="1:6">
      <c r="A17" s="112" t="s">
        <v>95</v>
      </c>
      <c r="B17" s="112" t="s">
        <v>702</v>
      </c>
      <c r="C17" s="113" t="s">
        <v>703</v>
      </c>
      <c r="D17" s="113" t="s">
        <v>676</v>
      </c>
      <c r="E17" s="113"/>
      <c r="F17" s="113"/>
    </row>
    <row r="18" spans="1:6">
      <c r="A18" s="112" t="s">
        <v>23</v>
      </c>
      <c r="B18" s="112" t="s">
        <v>702</v>
      </c>
      <c r="C18" s="113" t="s">
        <v>703</v>
      </c>
      <c r="D18" s="113" t="s">
        <v>676</v>
      </c>
      <c r="E18" s="113"/>
      <c r="F18" s="113"/>
    </row>
    <row r="19" spans="1:6">
      <c r="A19" s="112" t="s">
        <v>31</v>
      </c>
      <c r="B19" s="112" t="s">
        <v>702</v>
      </c>
      <c r="C19" s="113" t="s">
        <v>703</v>
      </c>
      <c r="D19" s="113" t="s">
        <v>676</v>
      </c>
      <c r="E19" s="113"/>
      <c r="F19" s="113"/>
    </row>
    <row r="20" spans="1:6">
      <c r="A20" s="112" t="s">
        <v>36</v>
      </c>
      <c r="B20" s="112" t="s">
        <v>702</v>
      </c>
      <c r="C20" s="113" t="s">
        <v>703</v>
      </c>
      <c r="D20" s="113" t="s">
        <v>676</v>
      </c>
      <c r="E20" s="113"/>
      <c r="F20" s="113"/>
    </row>
    <row r="21" spans="1:6">
      <c r="A21" s="112" t="s">
        <v>41</v>
      </c>
      <c r="B21" s="112" t="s">
        <v>702</v>
      </c>
      <c r="C21" s="113" t="s">
        <v>703</v>
      </c>
      <c r="D21" s="113" t="s">
        <v>676</v>
      </c>
      <c r="E21" s="113"/>
      <c r="F21" s="113"/>
    </row>
    <row r="22" spans="1:6">
      <c r="A22" s="112" t="s">
        <v>46</v>
      </c>
      <c r="B22" s="112" t="s">
        <v>702</v>
      </c>
      <c r="C22" s="113" t="s">
        <v>703</v>
      </c>
      <c r="D22" s="113" t="s">
        <v>676</v>
      </c>
      <c r="E22" s="113"/>
      <c r="F22" s="113"/>
    </row>
    <row r="23" spans="1:6">
      <c r="A23" s="112" t="s">
        <v>52</v>
      </c>
      <c r="B23" s="112" t="s">
        <v>702</v>
      </c>
      <c r="C23" s="113" t="s">
        <v>703</v>
      </c>
      <c r="D23" s="113" t="s">
        <v>676</v>
      </c>
      <c r="E23" s="113"/>
      <c r="F23" s="113"/>
    </row>
    <row r="24" spans="1:6">
      <c r="A24" s="112" t="s">
        <v>56</v>
      </c>
      <c r="B24" s="112" t="s">
        <v>702</v>
      </c>
      <c r="C24" s="113" t="s">
        <v>703</v>
      </c>
      <c r="D24" s="113" t="s">
        <v>676</v>
      </c>
      <c r="E24" s="113"/>
      <c r="F24" s="113"/>
    </row>
    <row r="25" spans="1:6">
      <c r="A25" s="112" t="s">
        <v>62</v>
      </c>
      <c r="B25" s="112" t="s">
        <v>702</v>
      </c>
      <c r="C25" s="113" t="s">
        <v>703</v>
      </c>
      <c r="D25" s="113" t="s">
        <v>676</v>
      </c>
      <c r="E25" s="113"/>
      <c r="F25" s="113"/>
    </row>
    <row r="26" spans="1:6">
      <c r="A26" s="112" t="s">
        <v>566</v>
      </c>
      <c r="B26" s="112" t="s">
        <v>702</v>
      </c>
      <c r="C26" s="113" t="s">
        <v>703</v>
      </c>
      <c r="D26" s="113" t="s">
        <v>676</v>
      </c>
      <c r="E26" s="113"/>
      <c r="F26" s="113"/>
    </row>
    <row r="27" spans="1:6">
      <c r="A27" s="112" t="s">
        <v>65</v>
      </c>
      <c r="B27" s="112" t="s">
        <v>702</v>
      </c>
      <c r="C27" s="113" t="s">
        <v>703</v>
      </c>
      <c r="D27" s="113" t="s">
        <v>676</v>
      </c>
      <c r="E27" s="113"/>
      <c r="F27" s="113"/>
    </row>
    <row r="28" spans="1:6">
      <c r="A28" s="112" t="s">
        <v>71</v>
      </c>
      <c r="B28" s="112" t="s">
        <v>702</v>
      </c>
      <c r="C28" s="113" t="s">
        <v>703</v>
      </c>
      <c r="D28" s="113" t="s">
        <v>676</v>
      </c>
      <c r="E28" s="113"/>
      <c r="F28" s="113"/>
    </row>
    <row r="29" spans="1:6">
      <c r="A29" s="112" t="s">
        <v>75</v>
      </c>
      <c r="B29" s="112" t="s">
        <v>702</v>
      </c>
      <c r="C29" s="113" t="s">
        <v>703</v>
      </c>
      <c r="D29" s="113" t="s">
        <v>676</v>
      </c>
      <c r="E29" s="113"/>
      <c r="F29" s="113"/>
    </row>
    <row r="30" spans="1:6">
      <c r="A30" s="112" t="s">
        <v>78</v>
      </c>
      <c r="B30" s="112" t="s">
        <v>702</v>
      </c>
      <c r="C30" s="113" t="s">
        <v>703</v>
      </c>
      <c r="D30" s="113" t="s">
        <v>676</v>
      </c>
      <c r="E30" s="113"/>
      <c r="F30" s="113"/>
    </row>
    <row r="31" spans="1:6">
      <c r="A31" s="112" t="s">
        <v>83</v>
      </c>
      <c r="B31" s="112" t="s">
        <v>702</v>
      </c>
      <c r="C31" s="113" t="s">
        <v>703</v>
      </c>
      <c r="D31" s="113" t="s">
        <v>676</v>
      </c>
      <c r="E31" s="113"/>
      <c r="F31" s="113"/>
    </row>
    <row r="32" spans="1:6">
      <c r="A32" s="112" t="s">
        <v>87</v>
      </c>
      <c r="B32" s="112" t="s">
        <v>702</v>
      </c>
      <c r="C32" s="113" t="s">
        <v>703</v>
      </c>
      <c r="D32" s="113" t="s">
        <v>676</v>
      </c>
      <c r="E32" s="113"/>
      <c r="F32" s="113"/>
    </row>
    <row r="33" spans="1:6">
      <c r="A33" s="112" t="s">
        <v>102</v>
      </c>
      <c r="B33" s="112" t="s">
        <v>702</v>
      </c>
      <c r="C33" s="113" t="s">
        <v>703</v>
      </c>
      <c r="D33" s="113" t="s">
        <v>676</v>
      </c>
      <c r="E33" s="113"/>
      <c r="F33" s="113"/>
    </row>
    <row r="34" spans="1:6">
      <c r="A34" s="112" t="s">
        <v>92</v>
      </c>
      <c r="B34" s="112" t="s">
        <v>702</v>
      </c>
      <c r="C34" s="113" t="s">
        <v>682</v>
      </c>
      <c r="D34" s="113" t="s">
        <v>676</v>
      </c>
      <c r="E34" s="113"/>
      <c r="F34" s="113"/>
    </row>
    <row r="35" spans="1:6">
      <c r="A35" s="112" t="s">
        <v>118</v>
      </c>
      <c r="B35" s="113" t="s">
        <v>704</v>
      </c>
      <c r="C35" s="113" t="s">
        <v>682</v>
      </c>
      <c r="D35" s="113" t="s">
        <v>676</v>
      </c>
      <c r="E35" s="113"/>
      <c r="F35" s="113"/>
    </row>
    <row r="36" spans="1:6">
      <c r="A36" s="112" t="s">
        <v>705</v>
      </c>
      <c r="B36" s="113" t="s">
        <v>704</v>
      </c>
      <c r="C36" s="113" t="s">
        <v>682</v>
      </c>
      <c r="D36" s="113" t="s">
        <v>676</v>
      </c>
      <c r="E36" s="113"/>
      <c r="F36" s="113"/>
    </row>
    <row r="37" spans="1:6">
      <c r="A37" s="112" t="s">
        <v>129</v>
      </c>
      <c r="B37" s="113" t="s">
        <v>704</v>
      </c>
      <c r="C37" s="113" t="s">
        <v>682</v>
      </c>
      <c r="D37" s="113" t="s">
        <v>676</v>
      </c>
      <c r="E37" s="113"/>
      <c r="F37" s="113"/>
    </row>
    <row r="38" spans="1:6">
      <c r="A38" s="112" t="s">
        <v>135</v>
      </c>
      <c r="B38" s="113" t="s">
        <v>704</v>
      </c>
      <c r="C38" s="113" t="s">
        <v>706</v>
      </c>
      <c r="D38" s="113" t="s">
        <v>676</v>
      </c>
      <c r="E38" s="113"/>
      <c r="F38" s="113"/>
    </row>
    <row r="39" spans="1:6">
      <c r="A39" s="112" t="s">
        <v>149</v>
      </c>
      <c r="B39" s="113" t="s">
        <v>704</v>
      </c>
      <c r="C39" s="113" t="s">
        <v>706</v>
      </c>
      <c r="D39" s="113" t="s">
        <v>676</v>
      </c>
      <c r="E39" s="113"/>
      <c r="F39" s="113"/>
    </row>
    <row r="40" spans="1:6">
      <c r="A40" s="112" t="s">
        <v>155</v>
      </c>
      <c r="B40" s="113" t="s">
        <v>704</v>
      </c>
      <c r="C40" s="113" t="s">
        <v>706</v>
      </c>
      <c r="D40" s="113" t="s">
        <v>676</v>
      </c>
      <c r="E40" s="113"/>
      <c r="F40" s="113"/>
    </row>
    <row r="41" spans="1:6">
      <c r="A41" s="112" t="s">
        <v>161</v>
      </c>
      <c r="B41" s="113" t="s">
        <v>704</v>
      </c>
      <c r="C41" s="113" t="s">
        <v>682</v>
      </c>
      <c r="D41" s="113" t="s">
        <v>676</v>
      </c>
      <c r="E41" s="113"/>
      <c r="F41" s="113"/>
    </row>
    <row r="42" spans="1:6">
      <c r="A42" s="112" t="s">
        <v>177</v>
      </c>
      <c r="B42" s="113" t="s">
        <v>704</v>
      </c>
      <c r="C42" s="113" t="s">
        <v>682</v>
      </c>
      <c r="D42" s="113" t="s">
        <v>676</v>
      </c>
      <c r="E42" s="113"/>
      <c r="F42" s="113"/>
    </row>
    <row r="43" spans="1:6">
      <c r="A43" s="112" t="s">
        <v>182</v>
      </c>
      <c r="B43" s="113" t="s">
        <v>704</v>
      </c>
      <c r="C43" s="113" t="s">
        <v>682</v>
      </c>
      <c r="D43" s="113" t="s">
        <v>676</v>
      </c>
      <c r="E43" s="113"/>
      <c r="F43" s="113"/>
    </row>
    <row r="44" spans="1:6">
      <c r="A44" s="112" t="s">
        <v>501</v>
      </c>
      <c r="B44" s="113" t="s">
        <v>704</v>
      </c>
      <c r="C44" s="113" t="s">
        <v>682</v>
      </c>
      <c r="D44" s="113" t="s">
        <v>676</v>
      </c>
      <c r="E44" s="113"/>
      <c r="F44" s="113"/>
    </row>
    <row r="45" spans="1:6">
      <c r="A45" s="112" t="s">
        <v>511</v>
      </c>
      <c r="B45" s="113" t="s">
        <v>704</v>
      </c>
      <c r="C45" s="113" t="s">
        <v>706</v>
      </c>
      <c r="D45" s="113" t="s">
        <v>676</v>
      </c>
      <c r="E45" s="113"/>
      <c r="F45" s="113"/>
    </row>
    <row r="46" spans="1:6">
      <c r="A46" s="112" t="s">
        <v>193</v>
      </c>
      <c r="B46" s="113" t="s">
        <v>704</v>
      </c>
      <c r="C46" s="113"/>
      <c r="D46" s="113"/>
      <c r="E46" s="113"/>
      <c r="F46" s="113"/>
    </row>
    <row r="47" spans="1:6">
      <c r="A47" s="112" t="s">
        <v>500</v>
      </c>
      <c r="B47" s="113" t="s">
        <v>704</v>
      </c>
      <c r="C47" s="113" t="s">
        <v>682</v>
      </c>
      <c r="D47" s="113" t="s">
        <v>676</v>
      </c>
      <c r="E47" s="113"/>
      <c r="F47" s="113"/>
    </row>
    <row r="48" spans="1:6">
      <c r="A48" s="112" t="s">
        <v>504</v>
      </c>
      <c r="B48" s="113" t="s">
        <v>704</v>
      </c>
      <c r="C48" s="113" t="s">
        <v>682</v>
      </c>
      <c r="D48" s="113" t="s">
        <v>676</v>
      </c>
      <c r="E48" s="113"/>
      <c r="F48" s="113"/>
    </row>
    <row r="49" spans="1:6">
      <c r="A49" s="112" t="s">
        <v>205</v>
      </c>
      <c r="B49" s="113" t="s">
        <v>704</v>
      </c>
      <c r="C49" s="113" t="s">
        <v>706</v>
      </c>
      <c r="D49" s="113" t="s">
        <v>676</v>
      </c>
      <c r="E49" s="113"/>
      <c r="F49" s="113"/>
    </row>
    <row r="50" spans="1:6">
      <c r="A50" s="112" t="s">
        <v>210</v>
      </c>
      <c r="B50" s="113" t="s">
        <v>704</v>
      </c>
      <c r="C50" s="113"/>
      <c r="D50" s="113"/>
      <c r="E50" s="113"/>
      <c r="F50" s="113"/>
    </row>
    <row r="51" spans="1:6">
      <c r="A51" s="112" t="s">
        <v>216</v>
      </c>
      <c r="B51" s="113" t="s">
        <v>704</v>
      </c>
      <c r="C51" s="113" t="s">
        <v>682</v>
      </c>
      <c r="D51" s="113" t="s">
        <v>676</v>
      </c>
      <c r="E51" s="113"/>
      <c r="F51" s="113"/>
    </row>
    <row r="52" spans="1:6">
      <c r="A52" s="112" t="s">
        <v>220</v>
      </c>
      <c r="B52" s="113" t="s">
        <v>704</v>
      </c>
      <c r="C52" s="113" t="s">
        <v>682</v>
      </c>
      <c r="D52" s="113" t="s">
        <v>676</v>
      </c>
      <c r="E52" s="113"/>
      <c r="F52" s="113"/>
    </row>
    <row r="53" spans="1:6">
      <c r="A53" s="112" t="s">
        <v>498</v>
      </c>
      <c r="B53" s="113" t="s">
        <v>704</v>
      </c>
      <c r="C53" s="113"/>
      <c r="D53" s="113"/>
      <c r="E53" s="113"/>
      <c r="F53" s="113"/>
    </row>
    <row r="54" spans="1:6">
      <c r="A54" s="112" t="s">
        <v>223</v>
      </c>
      <c r="B54" s="113" t="s">
        <v>704</v>
      </c>
      <c r="C54" s="113" t="s">
        <v>682</v>
      </c>
      <c r="D54" s="113" t="s">
        <v>676</v>
      </c>
      <c r="E54" s="113"/>
      <c r="F54" s="113"/>
    </row>
    <row r="55" spans="1:6">
      <c r="A55" s="112" t="s">
        <v>227</v>
      </c>
      <c r="B55" s="113" t="s">
        <v>704</v>
      </c>
      <c r="C55" s="113" t="s">
        <v>682</v>
      </c>
      <c r="D55" s="113" t="s">
        <v>676</v>
      </c>
      <c r="E55" s="113"/>
      <c r="F55" s="113"/>
    </row>
    <row r="56" spans="1:6">
      <c r="A56" s="112" t="s">
        <v>231</v>
      </c>
      <c r="B56" s="113" t="s">
        <v>704</v>
      </c>
      <c r="C56" s="113" t="s">
        <v>682</v>
      </c>
      <c r="D56" s="113" t="s">
        <v>676</v>
      </c>
      <c r="E56" s="113"/>
      <c r="F56" s="113"/>
    </row>
    <row r="57" spans="1:6">
      <c r="A57" s="112" t="s">
        <v>243</v>
      </c>
      <c r="B57" s="113" t="s">
        <v>704</v>
      </c>
      <c r="C57" s="113"/>
      <c r="D57" s="113"/>
      <c r="E57" s="113"/>
      <c r="F57" s="113"/>
    </row>
    <row r="58" spans="1:6">
      <c r="A58" s="112" t="s">
        <v>491</v>
      </c>
      <c r="B58" s="113" t="s">
        <v>704</v>
      </c>
      <c r="C58" s="113" t="s">
        <v>682</v>
      </c>
      <c r="D58" s="113" t="s">
        <v>676</v>
      </c>
      <c r="E58" s="113"/>
      <c r="F58" s="113"/>
    </row>
    <row r="59" spans="1:6">
      <c r="A59" s="112" t="s">
        <v>506</v>
      </c>
      <c r="B59" s="113" t="s">
        <v>704</v>
      </c>
      <c r="C59" s="113"/>
      <c r="D59" s="113"/>
      <c r="E59" s="113"/>
      <c r="F59" s="113"/>
    </row>
    <row r="60" spans="1:6">
      <c r="A60" s="112" t="s">
        <v>252</v>
      </c>
      <c r="B60" s="113" t="s">
        <v>704</v>
      </c>
      <c r="C60" s="113" t="s">
        <v>706</v>
      </c>
      <c r="D60" s="113" t="s">
        <v>676</v>
      </c>
      <c r="E60" s="113"/>
      <c r="F60" s="113"/>
    </row>
    <row r="61" spans="1:6">
      <c r="A61" s="112" t="s">
        <v>254</v>
      </c>
      <c r="B61" s="113" t="s">
        <v>704</v>
      </c>
      <c r="C61" s="113"/>
      <c r="D61" s="113"/>
      <c r="E61" s="113"/>
      <c r="F61" s="113"/>
    </row>
    <row r="62" spans="1:6">
      <c r="A62" s="112" t="s">
        <v>519</v>
      </c>
      <c r="B62" s="113" t="s">
        <v>704</v>
      </c>
      <c r="C62" s="113" t="s">
        <v>682</v>
      </c>
      <c r="D62" s="113" t="s">
        <v>676</v>
      </c>
      <c r="E62" s="113"/>
      <c r="F62" s="113"/>
    </row>
    <row r="63" spans="1:6">
      <c r="A63" s="112" t="s">
        <v>514</v>
      </c>
      <c r="B63" s="113" t="s">
        <v>704</v>
      </c>
      <c r="C63" s="113"/>
      <c r="D63" s="113"/>
      <c r="E63" s="113"/>
      <c r="F63" s="113"/>
    </row>
    <row r="64" spans="1:6">
      <c r="A64" s="114" t="s">
        <v>274</v>
      </c>
      <c r="B64" s="113" t="s">
        <v>707</v>
      </c>
      <c r="C64" s="113" t="s">
        <v>703</v>
      </c>
      <c r="D64" s="113" t="s">
        <v>676</v>
      </c>
      <c r="E64" s="113"/>
      <c r="F64" s="113"/>
    </row>
    <row r="65" spans="1:6">
      <c r="A65" s="114" t="s">
        <v>279</v>
      </c>
      <c r="B65" s="113" t="s">
        <v>707</v>
      </c>
      <c r="C65" s="113"/>
      <c r="D65" s="113"/>
      <c r="E65" s="113"/>
      <c r="F65" s="113"/>
    </row>
    <row r="66" spans="1:6">
      <c r="A66" s="114" t="s">
        <v>284</v>
      </c>
      <c r="B66" s="113" t="s">
        <v>707</v>
      </c>
      <c r="C66" s="113" t="s">
        <v>703</v>
      </c>
      <c r="D66" s="113" t="s">
        <v>676</v>
      </c>
      <c r="E66" s="113"/>
      <c r="F66" s="113"/>
    </row>
    <row r="67" spans="1:6">
      <c r="A67" s="114" t="s">
        <v>287</v>
      </c>
      <c r="B67" s="113" t="s">
        <v>707</v>
      </c>
      <c r="C67" s="113" t="s">
        <v>703</v>
      </c>
      <c r="D67" s="113" t="s">
        <v>676</v>
      </c>
      <c r="E67" s="113"/>
      <c r="F67" s="113"/>
    </row>
    <row r="68" spans="1:6">
      <c r="A68" s="114" t="s">
        <v>610</v>
      </c>
      <c r="B68" s="113" t="s">
        <v>707</v>
      </c>
      <c r="C68" s="113" t="s">
        <v>703</v>
      </c>
      <c r="D68" s="113" t="s">
        <v>676</v>
      </c>
      <c r="E68" s="113"/>
      <c r="F68" s="113"/>
    </row>
    <row r="69" spans="1:6">
      <c r="A69" s="114" t="s">
        <v>603</v>
      </c>
      <c r="B69" s="113" t="s">
        <v>707</v>
      </c>
      <c r="C69" s="113"/>
      <c r="D69" s="113"/>
      <c r="E69" s="113"/>
      <c r="F69" s="113"/>
    </row>
    <row r="70" spans="1:6">
      <c r="A70" s="114" t="s">
        <v>292</v>
      </c>
      <c r="B70" s="113" t="s">
        <v>707</v>
      </c>
      <c r="C70" s="113" t="s">
        <v>703</v>
      </c>
      <c r="D70" s="113" t="s">
        <v>676</v>
      </c>
      <c r="E70" s="113"/>
      <c r="F70" s="113"/>
    </row>
    <row r="71" spans="1:6">
      <c r="A71" s="114" t="s">
        <v>296</v>
      </c>
      <c r="B71" s="113" t="s">
        <v>707</v>
      </c>
      <c r="C71" s="113" t="s">
        <v>703</v>
      </c>
      <c r="D71" s="113" t="s">
        <v>676</v>
      </c>
      <c r="E71" s="113"/>
      <c r="F71" s="113"/>
    </row>
    <row r="72" spans="1:6">
      <c r="A72" s="114" t="s">
        <v>300</v>
      </c>
      <c r="B72" s="113" t="s">
        <v>707</v>
      </c>
      <c r="C72" s="113" t="s">
        <v>703</v>
      </c>
      <c r="D72" s="113" t="s">
        <v>676</v>
      </c>
      <c r="E72" s="113"/>
      <c r="F72" s="113"/>
    </row>
    <row r="73" spans="1:6">
      <c r="A73" s="114" t="s">
        <v>608</v>
      </c>
      <c r="B73" s="113" t="s">
        <v>707</v>
      </c>
      <c r="C73" s="113" t="s">
        <v>703</v>
      </c>
      <c r="D73" s="113" t="s">
        <v>676</v>
      </c>
      <c r="E73" s="113"/>
      <c r="F73" s="113"/>
    </row>
    <row r="74" spans="1:6">
      <c r="A74" s="114" t="s">
        <v>304</v>
      </c>
      <c r="B74" s="113" t="s">
        <v>707</v>
      </c>
      <c r="C74" s="113" t="s">
        <v>703</v>
      </c>
      <c r="D74" s="113" t="s">
        <v>676</v>
      </c>
      <c r="E74" s="113"/>
      <c r="F74" s="113"/>
    </row>
    <row r="75" spans="1:6">
      <c r="A75" s="114" t="s">
        <v>617</v>
      </c>
      <c r="B75" s="113" t="s">
        <v>707</v>
      </c>
      <c r="C75" s="113" t="s">
        <v>703</v>
      </c>
      <c r="D75" s="113" t="s">
        <v>676</v>
      </c>
      <c r="E75" s="113"/>
      <c r="F75" s="113"/>
    </row>
    <row r="76" spans="1:6">
      <c r="A76" s="114" t="s">
        <v>612</v>
      </c>
      <c r="B76" s="113" t="s">
        <v>707</v>
      </c>
      <c r="C76" s="113" t="s">
        <v>703</v>
      </c>
      <c r="D76" s="113" t="s">
        <v>676</v>
      </c>
      <c r="E76" s="113"/>
      <c r="F76" s="113"/>
    </row>
    <row r="77" spans="1:6">
      <c r="A77" s="114" t="s">
        <v>311</v>
      </c>
      <c r="B77" s="113" t="s">
        <v>707</v>
      </c>
      <c r="C77" s="113" t="s">
        <v>703</v>
      </c>
      <c r="D77" s="113" t="s">
        <v>676</v>
      </c>
      <c r="E77" s="113"/>
      <c r="F77" s="113"/>
    </row>
    <row r="78" spans="1:6">
      <c r="A78" s="114" t="s">
        <v>708</v>
      </c>
      <c r="B78" s="113" t="s">
        <v>707</v>
      </c>
      <c r="C78" s="113"/>
      <c r="D78" s="113"/>
      <c r="E78" s="113"/>
      <c r="F78" s="113"/>
    </row>
    <row r="79" spans="1:6">
      <c r="A79" s="114" t="s">
        <v>317</v>
      </c>
      <c r="B79" s="113" t="s">
        <v>707</v>
      </c>
      <c r="C79" s="113" t="s">
        <v>682</v>
      </c>
      <c r="D79" s="113" t="s">
        <v>676</v>
      </c>
      <c r="E79" s="113"/>
      <c r="F79" s="113"/>
    </row>
    <row r="80" spans="1:6">
      <c r="A80" s="114" t="s">
        <v>601</v>
      </c>
      <c r="B80" s="113" t="s">
        <v>707</v>
      </c>
      <c r="C80" s="113" t="s">
        <v>703</v>
      </c>
      <c r="D80" s="113" t="s">
        <v>676</v>
      </c>
      <c r="E80" s="113"/>
      <c r="F80" s="113"/>
    </row>
    <row r="81" spans="1:6">
      <c r="A81" s="114" t="s">
        <v>321</v>
      </c>
      <c r="B81" s="113" t="s">
        <v>707</v>
      </c>
      <c r="C81" s="113" t="s">
        <v>703</v>
      </c>
      <c r="D81" s="113" t="s">
        <v>676</v>
      </c>
      <c r="E81" s="113"/>
      <c r="F81" s="113"/>
    </row>
    <row r="82" spans="1:6">
      <c r="A82" s="114" t="s">
        <v>326</v>
      </c>
      <c r="B82" s="113" t="s">
        <v>707</v>
      </c>
      <c r="C82" s="113" t="s">
        <v>682</v>
      </c>
      <c r="D82" s="113" t="s">
        <v>676</v>
      </c>
      <c r="E82" s="113"/>
      <c r="F82" s="113"/>
    </row>
    <row r="83" spans="1:6">
      <c r="A83" s="114" t="s">
        <v>331</v>
      </c>
      <c r="B83" s="113" t="s">
        <v>707</v>
      </c>
      <c r="C83" s="113" t="s">
        <v>703</v>
      </c>
      <c r="D83" s="113" t="s">
        <v>676</v>
      </c>
      <c r="E83" s="113"/>
      <c r="F83" s="113"/>
    </row>
    <row r="84" spans="1:6">
      <c r="A84" s="114" t="s">
        <v>618</v>
      </c>
      <c r="B84" s="113" t="s">
        <v>707</v>
      </c>
      <c r="C84" s="113" t="s">
        <v>703</v>
      </c>
      <c r="D84" s="113" t="s">
        <v>676</v>
      </c>
      <c r="E84" s="113"/>
      <c r="F84" s="113"/>
    </row>
    <row r="85" spans="1:6">
      <c r="A85" s="114" t="s">
        <v>606</v>
      </c>
      <c r="B85" s="113" t="s">
        <v>707</v>
      </c>
      <c r="C85" s="113"/>
      <c r="D85" s="113"/>
      <c r="E85" s="113"/>
      <c r="F85" s="113"/>
    </row>
    <row r="86" spans="1:6">
      <c r="A86" s="114" t="s">
        <v>334</v>
      </c>
      <c r="B86" s="113" t="s">
        <v>707</v>
      </c>
      <c r="C86" s="113" t="s">
        <v>703</v>
      </c>
      <c r="D86" s="113" t="s">
        <v>676</v>
      </c>
      <c r="E86" s="113"/>
      <c r="F86" s="113"/>
    </row>
    <row r="87" spans="1:6">
      <c r="A87" s="114" t="s">
        <v>336</v>
      </c>
      <c r="B87" s="113" t="s">
        <v>707</v>
      </c>
      <c r="C87" s="113" t="s">
        <v>703</v>
      </c>
      <c r="D87" s="113" t="s">
        <v>676</v>
      </c>
      <c r="E87" s="113"/>
      <c r="F87" s="113"/>
    </row>
    <row r="88" spans="1:6">
      <c r="A88" s="114" t="s">
        <v>338</v>
      </c>
      <c r="B88" s="113" t="s">
        <v>707</v>
      </c>
      <c r="C88" s="113" t="s">
        <v>703</v>
      </c>
      <c r="D88" s="113" t="s">
        <v>676</v>
      </c>
      <c r="E88" s="113"/>
      <c r="F88" s="113"/>
    </row>
    <row r="89" spans="1:6">
      <c r="A89" s="114" t="s">
        <v>341</v>
      </c>
      <c r="B89" s="113" t="s">
        <v>707</v>
      </c>
      <c r="C89" s="113" t="s">
        <v>703</v>
      </c>
      <c r="D89" s="113" t="s">
        <v>676</v>
      </c>
      <c r="E89" s="113"/>
      <c r="F89" s="113"/>
    </row>
    <row r="90" spans="1:6">
      <c r="A90" s="114" t="s">
        <v>349</v>
      </c>
      <c r="B90" s="113" t="s">
        <v>707</v>
      </c>
      <c r="C90" s="113" t="s">
        <v>703</v>
      </c>
      <c r="D90" s="113" t="s">
        <v>676</v>
      </c>
      <c r="E90" s="113"/>
      <c r="F90" s="113"/>
    </row>
    <row r="91" spans="1:6">
      <c r="A91" s="114" t="s">
        <v>616</v>
      </c>
      <c r="B91" s="113" t="s">
        <v>707</v>
      </c>
      <c r="C91" s="113" t="s">
        <v>703</v>
      </c>
      <c r="D91" s="113" t="s">
        <v>676</v>
      </c>
      <c r="E91" s="113"/>
      <c r="F91" s="113"/>
    </row>
    <row r="92" spans="1:6">
      <c r="A92" s="114" t="s">
        <v>352</v>
      </c>
      <c r="B92" s="113" t="s">
        <v>707</v>
      </c>
      <c r="C92" s="113" t="s">
        <v>703</v>
      </c>
      <c r="D92" s="113" t="s">
        <v>676</v>
      </c>
      <c r="E92" s="113"/>
      <c r="F92" s="113"/>
    </row>
    <row r="93" spans="1:6">
      <c r="A93" s="114" t="s">
        <v>614</v>
      </c>
      <c r="B93" s="113" t="s">
        <v>707</v>
      </c>
      <c r="C93" s="113" t="s">
        <v>703</v>
      </c>
      <c r="D93" s="113" t="s">
        <v>676</v>
      </c>
      <c r="E93" s="113"/>
      <c r="F93" s="113"/>
    </row>
    <row r="94" spans="1:6">
      <c r="A94" s="112" t="s">
        <v>187</v>
      </c>
      <c r="B94" s="113" t="s">
        <v>709</v>
      </c>
      <c r="C94" s="113" t="s">
        <v>703</v>
      </c>
      <c r="D94" s="113" t="s">
        <v>676</v>
      </c>
      <c r="E94" s="113"/>
      <c r="F94" s="113"/>
    </row>
    <row r="95" spans="1:6">
      <c r="A95" s="113" t="s">
        <v>357</v>
      </c>
      <c r="B95" s="113" t="s">
        <v>710</v>
      </c>
      <c r="C95" s="113" t="s">
        <v>703</v>
      </c>
      <c r="D95" s="113" t="s">
        <v>676</v>
      </c>
      <c r="E95" s="113"/>
      <c r="F95" s="113"/>
    </row>
    <row r="96" spans="1:6">
      <c r="A96" s="113" t="s">
        <v>658</v>
      </c>
      <c r="B96" s="113" t="s">
        <v>710</v>
      </c>
      <c r="C96" s="113"/>
      <c r="D96" s="113"/>
      <c r="E96" s="113"/>
      <c r="F96" s="113"/>
    </row>
    <row r="97" spans="1:6">
      <c r="A97" s="113" t="s">
        <v>364</v>
      </c>
      <c r="B97" s="113" t="s">
        <v>710</v>
      </c>
      <c r="C97" s="113" t="s">
        <v>682</v>
      </c>
      <c r="D97" s="113" t="s">
        <v>676</v>
      </c>
      <c r="E97" s="113"/>
      <c r="F97" s="113"/>
    </row>
    <row r="98" spans="1:6">
      <c r="A98" s="113" t="s">
        <v>711</v>
      </c>
      <c r="B98" s="113" t="s">
        <v>710</v>
      </c>
      <c r="C98" s="113" t="s">
        <v>682</v>
      </c>
      <c r="D98" s="113" t="s">
        <v>676</v>
      </c>
      <c r="E98" s="113"/>
      <c r="F98" s="113"/>
    </row>
    <row r="99" spans="1:6">
      <c r="A99" s="113" t="s">
        <v>360</v>
      </c>
      <c r="B99" s="113" t="s">
        <v>710</v>
      </c>
      <c r="C99" s="113" t="s">
        <v>703</v>
      </c>
      <c r="D99" s="113" t="s">
        <v>676</v>
      </c>
      <c r="E99" s="113"/>
      <c r="F99" s="113"/>
    </row>
    <row r="100" spans="1:6">
      <c r="A100" s="113" t="s">
        <v>374</v>
      </c>
      <c r="B100" s="113" t="s">
        <v>710</v>
      </c>
      <c r="C100" s="113" t="s">
        <v>703</v>
      </c>
      <c r="D100" s="113" t="s">
        <v>676</v>
      </c>
      <c r="E100" s="113"/>
      <c r="F100" s="113"/>
    </row>
    <row r="101" spans="1:6">
      <c r="A101" s="113" t="s">
        <v>712</v>
      </c>
      <c r="B101" s="113" t="s">
        <v>710</v>
      </c>
      <c r="C101" s="113" t="s">
        <v>703</v>
      </c>
      <c r="D101" s="113" t="s">
        <v>676</v>
      </c>
      <c r="E101" s="113"/>
      <c r="F101" s="113"/>
    </row>
    <row r="102" spans="1:6">
      <c r="A102" s="112" t="s">
        <v>144</v>
      </c>
      <c r="B102" s="113" t="s">
        <v>704</v>
      </c>
      <c r="C102" s="113" t="s">
        <v>682</v>
      </c>
      <c r="D102" s="113" t="s">
        <v>676</v>
      </c>
      <c r="E102" s="113"/>
      <c r="F102" s="113"/>
    </row>
  </sheetData>
  <autoFilter ref="A1:F102" xr:uid="{534ADE1F-BABF-45E2-9BBD-E0BE15EC5559}"/>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A9791-218C-49C5-874B-9BA7B5CC750F}">
  <dimension ref="A1:O13"/>
  <sheetViews>
    <sheetView workbookViewId="0">
      <selection activeCell="C3" sqref="C3"/>
    </sheetView>
  </sheetViews>
  <sheetFormatPr defaultRowHeight="15"/>
  <cols>
    <col min="2" max="2" width="14" bestFit="1" customWidth="1"/>
    <col min="3" max="3" width="31.7109375" bestFit="1" customWidth="1"/>
    <col min="4" max="4" width="13" customWidth="1"/>
    <col min="5" max="6" width="15" customWidth="1"/>
    <col min="7" max="7" width="12.28515625" customWidth="1"/>
    <col min="8" max="8" width="12" customWidth="1"/>
    <col min="9" max="10" width="11.42578125" customWidth="1"/>
    <col min="12" max="13" width="10.140625" bestFit="1" customWidth="1"/>
    <col min="14" max="14" width="10.5703125" bestFit="1" customWidth="1"/>
  </cols>
  <sheetData>
    <row r="1" spans="1:15" ht="31.5" customHeight="1">
      <c r="A1" s="95" t="s">
        <v>713</v>
      </c>
      <c r="B1" s="95" t="s">
        <v>714</v>
      </c>
      <c r="C1" s="95" t="s">
        <v>715</v>
      </c>
      <c r="D1" s="96" t="s">
        <v>716</v>
      </c>
      <c r="E1" s="97" t="s">
        <v>717</v>
      </c>
      <c r="F1" s="97" t="s">
        <v>718</v>
      </c>
      <c r="G1" s="97" t="s">
        <v>719</v>
      </c>
      <c r="H1" s="97" t="s">
        <v>720</v>
      </c>
      <c r="I1" s="97" t="s">
        <v>721</v>
      </c>
      <c r="J1" s="97" t="s">
        <v>722</v>
      </c>
      <c r="K1" s="97" t="s">
        <v>723</v>
      </c>
      <c r="L1" s="98" t="s">
        <v>724</v>
      </c>
      <c r="M1" s="98" t="s">
        <v>725</v>
      </c>
      <c r="N1" s="98" t="s">
        <v>726</v>
      </c>
      <c r="O1" s="98" t="s">
        <v>727</v>
      </c>
    </row>
    <row r="2" spans="1:15" ht="24.75" customHeight="1">
      <c r="A2" s="90" t="s">
        <v>704</v>
      </c>
      <c r="B2" s="91" t="s">
        <v>728</v>
      </c>
      <c r="C2" s="104" t="s">
        <v>198</v>
      </c>
      <c r="D2" s="105">
        <v>45328</v>
      </c>
      <c r="E2" s="105">
        <v>45328</v>
      </c>
      <c r="F2" s="105">
        <v>45693</v>
      </c>
      <c r="G2" s="105">
        <v>45694</v>
      </c>
      <c r="H2" s="105">
        <v>46028</v>
      </c>
      <c r="I2" s="85">
        <v>45883</v>
      </c>
      <c r="J2" s="84">
        <v>555</v>
      </c>
      <c r="K2" s="86">
        <v>46</v>
      </c>
      <c r="L2" s="92">
        <v>45922</v>
      </c>
      <c r="M2" s="93">
        <v>45936</v>
      </c>
      <c r="N2" s="91" t="s">
        <v>389</v>
      </c>
      <c r="O2" s="94">
        <v>15</v>
      </c>
    </row>
    <row r="3" spans="1:15" ht="24.75" customHeight="1">
      <c r="A3" s="90" t="s">
        <v>704</v>
      </c>
      <c r="B3" s="91" t="s">
        <v>728</v>
      </c>
      <c r="C3" s="104" t="s">
        <v>508</v>
      </c>
      <c r="D3" s="105">
        <v>45418</v>
      </c>
      <c r="E3" s="105">
        <v>45418</v>
      </c>
      <c r="F3" s="105">
        <v>45782</v>
      </c>
      <c r="G3" s="105">
        <v>45783</v>
      </c>
      <c r="H3" s="105">
        <v>46118</v>
      </c>
      <c r="I3" s="85">
        <v>45883</v>
      </c>
      <c r="J3" s="84">
        <v>465</v>
      </c>
      <c r="K3" s="86">
        <v>39</v>
      </c>
      <c r="L3" s="92">
        <v>45943</v>
      </c>
      <c r="M3" s="93">
        <v>45952</v>
      </c>
      <c r="N3" s="91" t="s">
        <v>389</v>
      </c>
      <c r="O3" s="94">
        <v>10</v>
      </c>
    </row>
    <row r="4" spans="1:15" ht="24.75" customHeight="1">
      <c r="A4" s="90" t="s">
        <v>702</v>
      </c>
      <c r="B4" s="91" t="s">
        <v>728</v>
      </c>
      <c r="C4" s="104" t="s">
        <v>729</v>
      </c>
      <c r="D4" s="105">
        <v>45432</v>
      </c>
      <c r="E4" s="105">
        <v>45432</v>
      </c>
      <c r="F4" s="105">
        <v>45796</v>
      </c>
      <c r="G4" s="105">
        <v>45797</v>
      </c>
      <c r="H4" s="105">
        <v>46132</v>
      </c>
      <c r="I4" s="85">
        <v>45883</v>
      </c>
      <c r="J4" s="84">
        <v>451</v>
      </c>
      <c r="K4" s="86">
        <v>38</v>
      </c>
      <c r="L4" s="92">
        <v>45915</v>
      </c>
      <c r="M4" s="93">
        <v>45934</v>
      </c>
      <c r="N4" s="91" t="s">
        <v>389</v>
      </c>
      <c r="O4" s="94">
        <v>20</v>
      </c>
    </row>
    <row r="5" spans="1:15" ht="24.75" customHeight="1">
      <c r="A5" s="90" t="s">
        <v>702</v>
      </c>
      <c r="B5" s="91" t="s">
        <v>728</v>
      </c>
      <c r="C5" s="104" t="s">
        <v>214</v>
      </c>
      <c r="D5" s="105">
        <v>45393</v>
      </c>
      <c r="E5" s="105">
        <v>45393</v>
      </c>
      <c r="F5" s="105">
        <v>45758</v>
      </c>
      <c r="G5" s="105">
        <v>45759</v>
      </c>
      <c r="H5" s="105">
        <v>46093</v>
      </c>
      <c r="I5" s="85">
        <v>45883</v>
      </c>
      <c r="J5" s="84">
        <v>490</v>
      </c>
      <c r="K5" s="86">
        <v>41</v>
      </c>
      <c r="L5" s="92">
        <v>45937</v>
      </c>
      <c r="M5" s="93">
        <v>45941</v>
      </c>
      <c r="N5" s="91" t="s">
        <v>730</v>
      </c>
      <c r="O5" s="94">
        <v>5</v>
      </c>
    </row>
    <row r="6" spans="1:15" ht="24.75" customHeight="1">
      <c r="A6" s="90" t="s">
        <v>704</v>
      </c>
      <c r="B6" s="91" t="s">
        <v>728</v>
      </c>
      <c r="C6" s="104" t="s">
        <v>513</v>
      </c>
      <c r="D6" s="105">
        <v>45337</v>
      </c>
      <c r="E6" s="105">
        <v>45337</v>
      </c>
      <c r="F6" s="105">
        <v>45702</v>
      </c>
      <c r="G6" s="105">
        <v>45703</v>
      </c>
      <c r="H6" s="105">
        <v>46037</v>
      </c>
      <c r="I6" s="85">
        <v>45883</v>
      </c>
      <c r="J6" s="84">
        <v>546</v>
      </c>
      <c r="K6" s="86">
        <v>46</v>
      </c>
      <c r="L6" s="92">
        <v>45915</v>
      </c>
      <c r="M6" s="93">
        <v>45919</v>
      </c>
      <c r="N6" s="91" t="s">
        <v>730</v>
      </c>
      <c r="O6" s="94">
        <v>5</v>
      </c>
    </row>
    <row r="7" spans="1:15" ht="24.75" customHeight="1">
      <c r="A7" s="90" t="s">
        <v>702</v>
      </c>
      <c r="B7" s="91" t="s">
        <v>728</v>
      </c>
      <c r="C7" s="104" t="s">
        <v>83</v>
      </c>
      <c r="D7" s="105">
        <v>44571</v>
      </c>
      <c r="E7" s="105">
        <v>44936</v>
      </c>
      <c r="F7" s="105">
        <v>45300</v>
      </c>
      <c r="G7" s="105">
        <v>45301</v>
      </c>
      <c r="H7" s="105">
        <v>45635</v>
      </c>
      <c r="I7" s="85">
        <v>45883</v>
      </c>
      <c r="J7" s="84">
        <v>947</v>
      </c>
      <c r="K7" s="86">
        <v>79</v>
      </c>
      <c r="L7" s="92">
        <v>46001</v>
      </c>
      <c r="M7" s="93">
        <v>46020</v>
      </c>
      <c r="N7" s="91" t="s">
        <v>389</v>
      </c>
      <c r="O7" s="94">
        <v>20</v>
      </c>
    </row>
    <row r="8" spans="1:15" ht="24.75" customHeight="1">
      <c r="A8" s="90" t="s">
        <v>704</v>
      </c>
      <c r="B8" s="91" t="s">
        <v>728</v>
      </c>
      <c r="C8" s="104" t="s">
        <v>502</v>
      </c>
      <c r="D8" s="105">
        <v>45056</v>
      </c>
      <c r="E8" s="105">
        <v>45056</v>
      </c>
      <c r="F8" s="105">
        <v>45421</v>
      </c>
      <c r="G8" s="105">
        <v>45422</v>
      </c>
      <c r="H8" s="105">
        <v>45756</v>
      </c>
      <c r="I8" s="85">
        <v>45883</v>
      </c>
      <c r="J8" s="84">
        <v>827</v>
      </c>
      <c r="K8" s="86">
        <v>69</v>
      </c>
      <c r="L8" s="92">
        <v>45908</v>
      </c>
      <c r="M8" s="93">
        <v>45917</v>
      </c>
      <c r="N8" s="91" t="s">
        <v>389</v>
      </c>
      <c r="O8" s="94">
        <v>10</v>
      </c>
    </row>
    <row r="9" spans="1:15" ht="24.75" customHeight="1">
      <c r="A9" s="90" t="s">
        <v>704</v>
      </c>
      <c r="B9" s="91" t="s">
        <v>728</v>
      </c>
      <c r="C9" s="104" t="s">
        <v>502</v>
      </c>
      <c r="D9" s="105">
        <v>45056</v>
      </c>
      <c r="E9" s="105">
        <v>45056</v>
      </c>
      <c r="F9" s="105">
        <v>45421</v>
      </c>
      <c r="G9" s="105">
        <v>45422</v>
      </c>
      <c r="H9" s="105">
        <v>45756</v>
      </c>
      <c r="I9" s="85">
        <v>45883</v>
      </c>
      <c r="J9" s="84">
        <v>827</v>
      </c>
      <c r="K9" s="86">
        <v>69</v>
      </c>
      <c r="L9" s="92">
        <v>45999</v>
      </c>
      <c r="M9" s="93">
        <v>46013</v>
      </c>
      <c r="N9" s="91" t="s">
        <v>389</v>
      </c>
      <c r="O9" s="94">
        <v>15</v>
      </c>
    </row>
    <row r="10" spans="1:15" ht="24.75" customHeight="1">
      <c r="A10" s="90" t="s">
        <v>704</v>
      </c>
      <c r="B10" s="91" t="s">
        <v>728</v>
      </c>
      <c r="C10" s="104" t="s">
        <v>118</v>
      </c>
      <c r="D10" s="105">
        <v>45565</v>
      </c>
      <c r="E10" s="105">
        <v>45565</v>
      </c>
      <c r="F10" s="105">
        <v>45929</v>
      </c>
      <c r="G10" s="105">
        <v>45930</v>
      </c>
      <c r="H10" s="105">
        <v>46294</v>
      </c>
      <c r="I10" s="105">
        <v>45883</v>
      </c>
      <c r="J10" s="104">
        <v>318</v>
      </c>
      <c r="K10" s="104">
        <v>27</v>
      </c>
      <c r="L10" s="93">
        <v>45964</v>
      </c>
      <c r="M10" s="93">
        <v>45968</v>
      </c>
      <c r="N10" s="91" t="s">
        <v>389</v>
      </c>
      <c r="O10" s="94">
        <v>5</v>
      </c>
    </row>
    <row r="11" spans="1:15" ht="24.75" customHeight="1">
      <c r="A11" s="90" t="s">
        <v>702</v>
      </c>
      <c r="B11" s="91" t="s">
        <v>728</v>
      </c>
      <c r="C11" s="104" t="s">
        <v>75</v>
      </c>
      <c r="D11" s="105">
        <v>45519</v>
      </c>
      <c r="E11" s="105">
        <v>45519</v>
      </c>
      <c r="F11" s="105">
        <v>45883</v>
      </c>
      <c r="G11" s="105">
        <v>45884</v>
      </c>
      <c r="H11" s="105">
        <v>46248</v>
      </c>
      <c r="I11" s="105">
        <v>45883</v>
      </c>
      <c r="J11" s="104">
        <v>364</v>
      </c>
      <c r="K11" s="104">
        <v>30</v>
      </c>
      <c r="L11" s="93">
        <v>45992</v>
      </c>
      <c r="M11" s="93">
        <v>46001</v>
      </c>
      <c r="N11" s="91" t="s">
        <v>389</v>
      </c>
      <c r="O11" s="94">
        <v>10</v>
      </c>
    </row>
    <row r="12" spans="1:15" ht="24.75" customHeight="1">
      <c r="A12" s="90" t="s">
        <v>702</v>
      </c>
      <c r="B12" s="91" t="s">
        <v>728</v>
      </c>
      <c r="C12" s="104" t="s">
        <v>75</v>
      </c>
      <c r="D12" s="105">
        <v>45519</v>
      </c>
      <c r="E12" s="105">
        <v>45519</v>
      </c>
      <c r="F12" s="105">
        <v>45883</v>
      </c>
      <c r="G12" s="105">
        <v>45884</v>
      </c>
      <c r="H12" s="105">
        <v>46248</v>
      </c>
      <c r="I12" s="105">
        <v>45883</v>
      </c>
      <c r="J12" s="104">
        <v>364</v>
      </c>
      <c r="K12" s="104">
        <v>30</v>
      </c>
      <c r="L12" s="93">
        <v>45915</v>
      </c>
      <c r="M12" s="93">
        <v>45934</v>
      </c>
      <c r="N12" s="91" t="s">
        <v>389</v>
      </c>
      <c r="O12" s="94">
        <v>20</v>
      </c>
    </row>
    <row r="13" spans="1:15" ht="24.75" customHeight="1">
      <c r="A13" s="82" t="s">
        <v>702</v>
      </c>
      <c r="B13" s="83" t="s">
        <v>728</v>
      </c>
      <c r="C13" s="106" t="s">
        <v>31</v>
      </c>
      <c r="D13" s="107">
        <v>43864</v>
      </c>
      <c r="E13" s="107">
        <v>44960</v>
      </c>
      <c r="F13" s="107">
        <v>45324</v>
      </c>
      <c r="G13" s="107">
        <v>45325</v>
      </c>
      <c r="H13" s="107">
        <v>45659</v>
      </c>
      <c r="I13" s="85">
        <v>45883</v>
      </c>
      <c r="J13" s="84">
        <v>923</v>
      </c>
      <c r="K13" s="86">
        <v>77</v>
      </c>
      <c r="L13" s="87">
        <v>45999</v>
      </c>
      <c r="M13" s="88">
        <v>46013</v>
      </c>
      <c r="N13" s="83" t="s">
        <v>389</v>
      </c>
      <c r="O13" s="89">
        <v>15</v>
      </c>
    </row>
  </sheetData>
  <autoFilter ref="A1:O13" xr:uid="{12CA9791-218C-49C5-874B-9BA7B5CC750F}"/>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EF35C-2AF4-4D69-93B5-47FC711648E6}">
  <sheetPr>
    <tabColor rgb="FF03430F"/>
  </sheetPr>
  <dimension ref="A1"/>
  <sheetViews>
    <sheetView workbookViewId="0">
      <selection activeCell="C10" sqref="C10"/>
    </sheetView>
  </sheetViews>
  <sheetFormatPr defaultRowHeight="15"/>
  <sheetData>
    <row r="1" spans="1:1">
      <c r="A1" s="65" t="s">
        <v>247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AFA92F561D36A4EA8301C382ED361EE" ma:contentTypeVersion="11" ma:contentTypeDescription="Crie um novo documento." ma:contentTypeScope="" ma:versionID="f7adafebbfb34605f53a5f5c4caa9fbb">
  <xsd:schema xmlns:xsd="http://www.w3.org/2001/XMLSchema" xmlns:xs="http://www.w3.org/2001/XMLSchema" xmlns:p="http://schemas.microsoft.com/office/2006/metadata/properties" xmlns:ns2="02166bfc-7142-4020-bb2b-f21aef241290" xmlns:ns3="7b98337d-f368-428f-9b26-abbfe1f06d7e" targetNamespace="http://schemas.microsoft.com/office/2006/metadata/properties" ma:root="true" ma:fieldsID="bd2f1f30fa6641fa5ee5292bab3747c2" ns2:_="" ns3:_="">
    <xsd:import namespace="02166bfc-7142-4020-bb2b-f21aef241290"/>
    <xsd:import namespace="7b98337d-f368-428f-9b26-abbfe1f06d7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166bfc-7142-4020-bb2b-f21aef2412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BillingMetadata" ma:index="14" nillable="true" ma:displayName="MediaServiceBillingMetadata" ma:hidden="true" ma:internalName="MediaServiceBilling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b98337d-f368-428f-9b26-abbfe1f06d7e" elementFormDefault="qualified">
    <xsd:import namespace="http://schemas.microsoft.com/office/2006/documentManagement/types"/>
    <xsd:import namespace="http://schemas.microsoft.com/office/infopath/2007/PartnerControls"/>
    <xsd:element name="SharedWithUsers" ma:index="11"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16E66D3-7FB2-4C72-8722-99328C66ED9D}"/>
</file>

<file path=customXml/itemProps2.xml><?xml version="1.0" encoding="utf-8"?>
<ds:datastoreItem xmlns:ds="http://schemas.openxmlformats.org/officeDocument/2006/customXml" ds:itemID="{76D3D964-4157-4C39-8E34-A6669756A396}"/>
</file>

<file path=customXml/itemProps3.xml><?xml version="1.0" encoding="utf-8"?>
<ds:datastoreItem xmlns:ds="http://schemas.openxmlformats.org/officeDocument/2006/customXml" ds:itemID="{3471DC84-3F43-4064-813D-EE07BAC2EA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Raphaella Lopes da Silva Souza</dc:creator>
  <cp:keywords/>
  <dc:description/>
  <cp:lastModifiedBy>Camila Raimundo Pereira</cp:lastModifiedBy>
  <cp:revision/>
  <dcterms:created xsi:type="dcterms:W3CDTF">2025-03-17T16:48:34Z</dcterms:created>
  <dcterms:modified xsi:type="dcterms:W3CDTF">2026-04-02T17:04:55Z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0x0101001AFA92F561D36A4EA8301C382ED361EE</vt:lpwstr>
  </property>
</Properties>
</file>